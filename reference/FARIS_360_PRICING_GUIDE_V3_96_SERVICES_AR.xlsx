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IT\Downloads\"/>
    </mc:Choice>
  </mc:AlternateContent>
  <xr:revisionPtr revIDLastSave="0" documentId="13_ncr:1_{C5B1DA7B-4CFB-4238-8692-98B77D7E4712}" xr6:coauthVersionLast="36" xr6:coauthVersionMax="36" xr10:uidLastSave="{00000000-0000-0000-0000-000000000000}"/>
  <bookViews>
    <workbookView xWindow="0" yWindow="0" windowWidth="20490" windowHeight="7560" activeTab="2" xr2:uid="{00000000-000D-0000-FFFF-FFFF00000000}"/>
  </bookViews>
  <sheets>
    <sheet name="لوحة_القيادة" sheetId="1" r:id="rId1"/>
    <sheet name="الخدمات_96" sheetId="2" r:id="rId2"/>
    <sheet name="الافتراضات" sheetId="3" r:id="rId3"/>
    <sheet name="منهجية_FARIS360" sheetId="4" r:id="rId4"/>
    <sheet name="سلم_القيمة" sheetId="5" r:id="rId5"/>
    <sheet name="المصادر" sheetId="6" r:id="rId6"/>
    <sheet name="طريقة_الاستخدام" sheetId="7" r:id="rId7"/>
  </sheets>
  <definedNames>
    <definedName name="_xlnm._FilterDatabase" localSheetId="1" hidden="1">الخدمات_96!$A$1:$AM$97</definedName>
  </definedNames>
  <calcPr calcId="191029" forceFullCalc="1"/>
</workbook>
</file>

<file path=xl/calcChain.xml><?xml version="1.0" encoding="utf-8"?>
<calcChain xmlns="http://schemas.openxmlformats.org/spreadsheetml/2006/main">
  <c r="R97" i="2" l="1"/>
  <c r="Q97" i="2"/>
  <c r="O97" i="2"/>
  <c r="P97" i="2" s="1"/>
  <c r="R96" i="2"/>
  <c r="Q96" i="2"/>
  <c r="O96" i="2"/>
  <c r="R95" i="2"/>
  <c r="Q95" i="2"/>
  <c r="O95" i="2"/>
  <c r="R94" i="2"/>
  <c r="Q94" i="2"/>
  <c r="O94" i="2"/>
  <c r="P94" i="2" s="1"/>
  <c r="R93" i="2"/>
  <c r="Q93" i="2"/>
  <c r="P93" i="2"/>
  <c r="U93" i="2" s="1"/>
  <c r="O93" i="2"/>
  <c r="R92" i="2"/>
  <c r="Q92" i="2"/>
  <c r="O92" i="2"/>
  <c r="P92" i="2" s="1"/>
  <c r="U92" i="2" s="1"/>
  <c r="R91" i="2"/>
  <c r="Q91" i="2"/>
  <c r="O91" i="2"/>
  <c r="R90" i="2"/>
  <c r="Q90" i="2"/>
  <c r="O90" i="2"/>
  <c r="P90" i="2" s="1"/>
  <c r="R89" i="2"/>
  <c r="Q89" i="2"/>
  <c r="O89" i="2"/>
  <c r="R88" i="2"/>
  <c r="Q88" i="2"/>
  <c r="O88" i="2"/>
  <c r="P88" i="2" s="1"/>
  <c r="U88" i="2" s="1"/>
  <c r="R87" i="2"/>
  <c r="Q87" i="2"/>
  <c r="O87" i="2"/>
  <c r="R86" i="2"/>
  <c r="Q86" i="2"/>
  <c r="O86" i="2"/>
  <c r="P86" i="2" s="1"/>
  <c r="R85" i="2"/>
  <c r="Q85" i="2"/>
  <c r="P85" i="2"/>
  <c r="O85" i="2"/>
  <c r="R84" i="2"/>
  <c r="Q84" i="2"/>
  <c r="O84" i="2"/>
  <c r="P84" i="2" s="1"/>
  <c r="R83" i="2"/>
  <c r="Q83" i="2"/>
  <c r="O83" i="2"/>
  <c r="R82" i="2"/>
  <c r="Q82" i="2"/>
  <c r="O82" i="2"/>
  <c r="P82" i="2" s="1"/>
  <c r="R81" i="2"/>
  <c r="Q81" i="2"/>
  <c r="O81" i="2"/>
  <c r="R80" i="2"/>
  <c r="Q80" i="2"/>
  <c r="O80" i="2"/>
  <c r="P80" i="2" s="1"/>
  <c r="U80" i="2" s="1"/>
  <c r="R79" i="2"/>
  <c r="Q79" i="2"/>
  <c r="O79" i="2"/>
  <c r="R78" i="2"/>
  <c r="Q78" i="2"/>
  <c r="O78" i="2"/>
  <c r="P78" i="2" s="1"/>
  <c r="R77" i="2"/>
  <c r="Q77" i="2"/>
  <c r="O77" i="2"/>
  <c r="P77" i="2" s="1"/>
  <c r="U77" i="2" s="1"/>
  <c r="R76" i="2"/>
  <c r="Q76" i="2"/>
  <c r="O76" i="2"/>
  <c r="P76" i="2" s="1"/>
  <c r="U76" i="2" s="1"/>
  <c r="R75" i="2"/>
  <c r="Q75" i="2"/>
  <c r="O75" i="2"/>
  <c r="R74" i="2"/>
  <c r="Q74" i="2"/>
  <c r="O74" i="2"/>
  <c r="P74" i="2" s="1"/>
  <c r="R73" i="2"/>
  <c r="Q73" i="2"/>
  <c r="O73" i="2"/>
  <c r="R72" i="2"/>
  <c r="Q72" i="2"/>
  <c r="O72" i="2"/>
  <c r="P72" i="2" s="1"/>
  <c r="U72" i="2" s="1"/>
  <c r="R71" i="2"/>
  <c r="Q71" i="2"/>
  <c r="O71" i="2"/>
  <c r="R70" i="2"/>
  <c r="Q70" i="2"/>
  <c r="P70" i="2"/>
  <c r="O70" i="2"/>
  <c r="R69" i="2"/>
  <c r="Q69" i="2"/>
  <c r="P69" i="2"/>
  <c r="U69" i="2" s="1"/>
  <c r="O69" i="2"/>
  <c r="R68" i="2"/>
  <c r="Q68" i="2"/>
  <c r="O68" i="2"/>
  <c r="P68" i="2" s="1"/>
  <c r="U68" i="2" s="1"/>
  <c r="R67" i="2"/>
  <c r="Q67" i="2"/>
  <c r="O67" i="2"/>
  <c r="R66" i="2"/>
  <c r="Q66" i="2"/>
  <c r="O66" i="2"/>
  <c r="P66" i="2" s="1"/>
  <c r="R65" i="2"/>
  <c r="Q65" i="2"/>
  <c r="O65" i="2"/>
  <c r="R64" i="2"/>
  <c r="Q64" i="2"/>
  <c r="O64" i="2"/>
  <c r="P64" i="2" s="1"/>
  <c r="U64" i="2" s="1"/>
  <c r="R63" i="2"/>
  <c r="Q63" i="2"/>
  <c r="O63" i="2"/>
  <c r="R62" i="2"/>
  <c r="Q62" i="2"/>
  <c r="O62" i="2"/>
  <c r="P62" i="2" s="1"/>
  <c r="R61" i="2"/>
  <c r="Q61" i="2"/>
  <c r="O61" i="2"/>
  <c r="P61" i="2" s="1"/>
  <c r="U61" i="2" s="1"/>
  <c r="R60" i="2"/>
  <c r="Q60" i="2"/>
  <c r="O60" i="2"/>
  <c r="P60" i="2" s="1"/>
  <c r="R59" i="2"/>
  <c r="Q59" i="2"/>
  <c r="O59" i="2"/>
  <c r="R58" i="2"/>
  <c r="Q58" i="2"/>
  <c r="P58" i="2"/>
  <c r="O58" i="2"/>
  <c r="R57" i="2"/>
  <c r="Q57" i="2"/>
  <c r="P57" i="2"/>
  <c r="U57" i="2" s="1"/>
  <c r="O57" i="2"/>
  <c r="R56" i="2"/>
  <c r="Q56" i="2"/>
  <c r="O56" i="2"/>
  <c r="P56" i="2" s="1"/>
  <c r="V56" i="2" s="1"/>
  <c r="W56" i="2" s="1"/>
  <c r="R55" i="2"/>
  <c r="Q55" i="2"/>
  <c r="O55" i="2"/>
  <c r="R54" i="2"/>
  <c r="Q54" i="2"/>
  <c r="O54" i="2"/>
  <c r="P54" i="2" s="1"/>
  <c r="R53" i="2"/>
  <c r="Q53" i="2"/>
  <c r="O53" i="2"/>
  <c r="R52" i="2"/>
  <c r="Q52" i="2"/>
  <c r="O52" i="2"/>
  <c r="P52" i="2" s="1"/>
  <c r="V52" i="2" s="1"/>
  <c r="W52" i="2" s="1"/>
  <c r="R51" i="2"/>
  <c r="Q51" i="2"/>
  <c r="O51" i="2"/>
  <c r="R50" i="2"/>
  <c r="Q50" i="2"/>
  <c r="O50" i="2"/>
  <c r="P50" i="2" s="1"/>
  <c r="R49" i="2"/>
  <c r="Q49" i="2"/>
  <c r="O49" i="2"/>
  <c r="P49" i="2" s="1"/>
  <c r="U49" i="2" s="1"/>
  <c r="R48" i="2"/>
  <c r="Q48" i="2"/>
  <c r="O48" i="2"/>
  <c r="P48" i="2" s="1"/>
  <c r="V48" i="2" s="1"/>
  <c r="W48" i="2" s="1"/>
  <c r="R47" i="2"/>
  <c r="Q47" i="2"/>
  <c r="O47" i="2"/>
  <c r="R46" i="2"/>
  <c r="Q46" i="2"/>
  <c r="O46" i="2"/>
  <c r="P46" i="2" s="1"/>
  <c r="R45" i="2"/>
  <c r="Q45" i="2"/>
  <c r="O45" i="2"/>
  <c r="R44" i="2"/>
  <c r="Q44" i="2"/>
  <c r="O44" i="2"/>
  <c r="P44" i="2" s="1"/>
  <c r="V44" i="2" s="1"/>
  <c r="W44" i="2" s="1"/>
  <c r="R43" i="2"/>
  <c r="Q43" i="2"/>
  <c r="O43" i="2"/>
  <c r="R42" i="2"/>
  <c r="Q42" i="2"/>
  <c r="P42" i="2"/>
  <c r="O42" i="2"/>
  <c r="R41" i="2"/>
  <c r="Q41" i="2"/>
  <c r="O41" i="2"/>
  <c r="R40" i="2"/>
  <c r="Q40" i="2"/>
  <c r="O40" i="2"/>
  <c r="P40" i="2" s="1"/>
  <c r="R39" i="2"/>
  <c r="Q39" i="2"/>
  <c r="O39" i="2"/>
  <c r="P39" i="2" s="1"/>
  <c r="V39" i="2" s="1"/>
  <c r="W39" i="2" s="1"/>
  <c r="R38" i="2"/>
  <c r="Q38" i="2"/>
  <c r="O38" i="2"/>
  <c r="P38" i="2" s="1"/>
  <c r="R37" i="2"/>
  <c r="Q37" i="2"/>
  <c r="O37" i="2"/>
  <c r="R36" i="2"/>
  <c r="Q36" i="2"/>
  <c r="O36" i="2"/>
  <c r="R35" i="2"/>
  <c r="Q35" i="2"/>
  <c r="O35" i="2"/>
  <c r="R34" i="2"/>
  <c r="Q34" i="2"/>
  <c r="O34" i="2"/>
  <c r="P34" i="2" s="1"/>
  <c r="R33" i="2"/>
  <c r="Q33" i="2"/>
  <c r="O33" i="2"/>
  <c r="R32" i="2"/>
  <c r="Q32" i="2"/>
  <c r="O32" i="2"/>
  <c r="P32" i="2" s="1"/>
  <c r="R31" i="2"/>
  <c r="Q31" i="2"/>
  <c r="O31" i="2"/>
  <c r="R30" i="2"/>
  <c r="Q30" i="2"/>
  <c r="O30" i="2"/>
  <c r="P30" i="2" s="1"/>
  <c r="R29" i="2"/>
  <c r="Q29" i="2"/>
  <c r="O29" i="2"/>
  <c r="R28" i="2"/>
  <c r="Q28" i="2"/>
  <c r="O28" i="2"/>
  <c r="P28" i="2" s="1"/>
  <c r="R27" i="2"/>
  <c r="Q27" i="2"/>
  <c r="O27" i="2"/>
  <c r="P27" i="2" s="1"/>
  <c r="R26" i="2"/>
  <c r="Q26" i="2"/>
  <c r="O26" i="2"/>
  <c r="P26" i="2" s="1"/>
  <c r="R25" i="2"/>
  <c r="Q25" i="2"/>
  <c r="O25" i="2"/>
  <c r="R24" i="2"/>
  <c r="Q24" i="2"/>
  <c r="O24" i="2"/>
  <c r="P24" i="2" s="1"/>
  <c r="R23" i="2"/>
  <c r="Q23" i="2"/>
  <c r="O23" i="2"/>
  <c r="P23" i="2" s="1"/>
  <c r="R22" i="2"/>
  <c r="Q22" i="2"/>
  <c r="O22" i="2"/>
  <c r="P22" i="2" s="1"/>
  <c r="R21" i="2"/>
  <c r="Q21" i="2"/>
  <c r="O21" i="2"/>
  <c r="R20" i="2"/>
  <c r="Q20" i="2"/>
  <c r="O20" i="2"/>
  <c r="R19" i="2"/>
  <c r="Q19" i="2"/>
  <c r="P19" i="2"/>
  <c r="O19" i="2"/>
  <c r="R18" i="2"/>
  <c r="Q18" i="2"/>
  <c r="O18" i="2"/>
  <c r="P18" i="2" s="1"/>
  <c r="V18" i="2" s="1"/>
  <c r="W18" i="2" s="1"/>
  <c r="R17" i="2"/>
  <c r="Q17" i="2"/>
  <c r="O17" i="2"/>
  <c r="R16" i="2"/>
  <c r="Q16" i="2"/>
  <c r="O16" i="2"/>
  <c r="R15" i="2"/>
  <c r="Q15" i="2"/>
  <c r="O15" i="2"/>
  <c r="R14" i="2"/>
  <c r="Q14" i="2"/>
  <c r="O14" i="2"/>
  <c r="P14" i="2" s="1"/>
  <c r="V14" i="2" s="1"/>
  <c r="W14" i="2" s="1"/>
  <c r="R13" i="2"/>
  <c r="Q13" i="2"/>
  <c r="O13" i="2"/>
  <c r="R12" i="2"/>
  <c r="Q12" i="2"/>
  <c r="O12" i="2"/>
  <c r="R11" i="2"/>
  <c r="Q11" i="2"/>
  <c r="O11" i="2"/>
  <c r="R10" i="2"/>
  <c r="Q10" i="2"/>
  <c r="O10" i="2"/>
  <c r="R9" i="2"/>
  <c r="Q9" i="2"/>
  <c r="O9" i="2"/>
  <c r="R8" i="2"/>
  <c r="Q8" i="2"/>
  <c r="O8" i="2"/>
  <c r="P8" i="2" s="1"/>
  <c r="R7" i="2"/>
  <c r="Q7" i="2"/>
  <c r="O7" i="2"/>
  <c r="R6" i="2"/>
  <c r="Q6" i="2"/>
  <c r="O6" i="2"/>
  <c r="R5" i="2"/>
  <c r="Q5" i="2"/>
  <c r="O5" i="2"/>
  <c r="P5" i="2" s="1"/>
  <c r="V5" i="2" s="1"/>
  <c r="W5" i="2" s="1"/>
  <c r="R4" i="2"/>
  <c r="Q4" i="2"/>
  <c r="O4" i="2"/>
  <c r="P4" i="2" s="1"/>
  <c r="R3" i="2"/>
  <c r="Q3" i="2"/>
  <c r="O3" i="2"/>
  <c r="P3" i="2" s="1"/>
  <c r="U3" i="2" s="1"/>
  <c r="R2" i="2"/>
  <c r="Q2" i="2"/>
  <c r="O2" i="2"/>
  <c r="U30" i="2" l="1"/>
  <c r="U34" i="2"/>
  <c r="U84" i="2"/>
  <c r="U85" i="2"/>
  <c r="U19" i="2"/>
  <c r="V26" i="2"/>
  <c r="W26" i="2" s="1"/>
  <c r="U4" i="2"/>
  <c r="U14" i="2"/>
  <c r="U22" i="2"/>
  <c r="U38" i="2"/>
  <c r="V34" i="2"/>
  <c r="W34" i="2" s="1"/>
  <c r="U60" i="2"/>
  <c r="U18" i="2"/>
  <c r="U27" i="2"/>
  <c r="S73" i="2"/>
  <c r="T73" i="2" s="1"/>
  <c r="P11" i="2"/>
  <c r="U11" i="2" s="1"/>
  <c r="U23" i="2"/>
  <c r="P31" i="2"/>
  <c r="V31" i="2" s="1"/>
  <c r="W31" i="2" s="1"/>
  <c r="P35" i="2"/>
  <c r="V35" i="2" s="1"/>
  <c r="W35" i="2" s="1"/>
  <c r="U39" i="2"/>
  <c r="P45" i="2"/>
  <c r="U45" i="2" s="1"/>
  <c r="P53" i="2"/>
  <c r="U53" i="2" s="1"/>
  <c r="V60" i="2"/>
  <c r="W60" i="2" s="1"/>
  <c r="P65" i="2"/>
  <c r="U65" i="2" s="1"/>
  <c r="P73" i="2"/>
  <c r="U73" i="2" s="1"/>
  <c r="P81" i="2"/>
  <c r="U81" i="2" s="1"/>
  <c r="P89" i="2"/>
  <c r="U89" i="2" s="1"/>
  <c r="S3" i="2"/>
  <c r="T3" i="2" s="1"/>
  <c r="V3" i="2"/>
  <c r="W3" i="2" s="1"/>
  <c r="S5" i="2"/>
  <c r="T5" i="2" s="1"/>
  <c r="P7" i="2"/>
  <c r="U7" i="2" s="1"/>
  <c r="U8" i="2"/>
  <c r="P9" i="2"/>
  <c r="V9" i="2" s="1"/>
  <c r="W9" i="2" s="1"/>
  <c r="P15" i="2"/>
  <c r="U15" i="2" s="1"/>
  <c r="S19" i="2"/>
  <c r="T19" i="2" s="1"/>
  <c r="U26" i="2"/>
  <c r="S28" i="2"/>
  <c r="T28" i="2" s="1"/>
  <c r="P36" i="2"/>
  <c r="S36" i="2" s="1"/>
  <c r="T36" i="2" s="1"/>
  <c r="S49" i="2"/>
  <c r="T49" i="2" s="1"/>
  <c r="S57" i="2"/>
  <c r="T57" i="2" s="1"/>
  <c r="S61" i="2"/>
  <c r="T61" i="2" s="1"/>
  <c r="S69" i="2"/>
  <c r="T69" i="2" s="1"/>
  <c r="S77" i="2"/>
  <c r="T77" i="2" s="1"/>
  <c r="S85" i="2"/>
  <c r="T85" i="2" s="1"/>
  <c r="S93" i="2"/>
  <c r="T93" i="2" s="1"/>
  <c r="P96" i="2"/>
  <c r="U96" i="2" s="1"/>
  <c r="P41" i="2"/>
  <c r="S41" i="2" s="1"/>
  <c r="T41" i="2" s="1"/>
  <c r="P2" i="2"/>
  <c r="V2" i="2" s="1"/>
  <c r="W2" i="2" s="1"/>
  <c r="V4" i="2"/>
  <c r="W4" i="2" s="1"/>
  <c r="U5" i="2"/>
  <c r="P6" i="2"/>
  <c r="V6" i="2" s="1"/>
  <c r="W6" i="2" s="1"/>
  <c r="V8" i="2"/>
  <c r="W8" i="2" s="1"/>
  <c r="U9" i="2"/>
  <c r="P10" i="2"/>
  <c r="V10" i="2" s="1"/>
  <c r="W10" i="2" s="1"/>
  <c r="P13" i="2"/>
  <c r="S13" i="2" s="1"/>
  <c r="T13" i="2" s="1"/>
  <c r="P17" i="2"/>
  <c r="S17" i="2" s="1"/>
  <c r="T17" i="2" s="1"/>
  <c r="P21" i="2"/>
  <c r="S21" i="2" s="1"/>
  <c r="T21" i="2" s="1"/>
  <c r="V22" i="2"/>
  <c r="W22" i="2" s="1"/>
  <c r="S27" i="2"/>
  <c r="T27" i="2" s="1"/>
  <c r="S32" i="2"/>
  <c r="T32" i="2" s="1"/>
  <c r="P37" i="2"/>
  <c r="S37" i="2" s="1"/>
  <c r="T37" i="2" s="1"/>
  <c r="V38" i="2"/>
  <c r="W38" i="2" s="1"/>
  <c r="V64" i="2"/>
  <c r="W64" i="2" s="1"/>
  <c r="V68" i="2"/>
  <c r="W68" i="2" s="1"/>
  <c r="V72" i="2"/>
  <c r="W72" i="2" s="1"/>
  <c r="V76" i="2"/>
  <c r="W76" i="2" s="1"/>
  <c r="V80" i="2"/>
  <c r="W80" i="2" s="1"/>
  <c r="V84" i="2"/>
  <c r="W84" i="2" s="1"/>
  <c r="V88" i="2"/>
  <c r="W88" i="2" s="1"/>
  <c r="V92" i="2"/>
  <c r="W92" i="2" s="1"/>
  <c r="U97" i="2"/>
  <c r="S10" i="2"/>
  <c r="T10" i="2" s="1"/>
  <c r="P25" i="2"/>
  <c r="V25" i="2" s="1"/>
  <c r="W25" i="2" s="1"/>
  <c r="U2" i="2"/>
  <c r="S8" i="2"/>
  <c r="T8" i="2" s="1"/>
  <c r="U10" i="2"/>
  <c r="S23" i="2"/>
  <c r="T23" i="2" s="1"/>
  <c r="P33" i="2"/>
  <c r="S33" i="2" s="1"/>
  <c r="T33" i="2" s="1"/>
  <c r="S39" i="2"/>
  <c r="T39" i="2" s="1"/>
  <c r="S6" i="2"/>
  <c r="T6" i="2" s="1"/>
  <c r="S4" i="2"/>
  <c r="T4" i="2" s="1"/>
  <c r="P12" i="2"/>
  <c r="V12" i="2" s="1"/>
  <c r="W12" i="2" s="1"/>
  <c r="P16" i="2"/>
  <c r="U16" i="2" s="1"/>
  <c r="P20" i="2"/>
  <c r="S20" i="2" s="1"/>
  <c r="T20" i="2" s="1"/>
  <c r="S24" i="2"/>
  <c r="T24" i="2" s="1"/>
  <c r="P29" i="2"/>
  <c r="S29" i="2" s="1"/>
  <c r="T29" i="2" s="1"/>
  <c r="V30" i="2"/>
  <c r="W30" i="2" s="1"/>
  <c r="S40" i="2"/>
  <c r="T40" i="2" s="1"/>
  <c r="V11" i="2"/>
  <c r="W11" i="2" s="1"/>
  <c r="S14" i="2"/>
  <c r="T14" i="2" s="1"/>
  <c r="V15" i="2"/>
  <c r="W15" i="2" s="1"/>
  <c r="S18" i="2"/>
  <c r="T18" i="2" s="1"/>
  <c r="V19" i="2"/>
  <c r="W19" i="2" s="1"/>
  <c r="S22" i="2"/>
  <c r="T22" i="2" s="1"/>
  <c r="V23" i="2"/>
  <c r="W23" i="2" s="1"/>
  <c r="U24" i="2"/>
  <c r="S26" i="2"/>
  <c r="T26" i="2" s="1"/>
  <c r="V27" i="2"/>
  <c r="W27" i="2" s="1"/>
  <c r="U28" i="2"/>
  <c r="S30" i="2"/>
  <c r="T30" i="2" s="1"/>
  <c r="U32" i="2"/>
  <c r="S34" i="2"/>
  <c r="T34" i="2" s="1"/>
  <c r="U36" i="2"/>
  <c r="S38" i="2"/>
  <c r="T38" i="2" s="1"/>
  <c r="U40" i="2"/>
  <c r="P43" i="2"/>
  <c r="S43" i="2" s="1"/>
  <c r="T43" i="2" s="1"/>
  <c r="P47" i="2"/>
  <c r="S47" i="2" s="1"/>
  <c r="T47" i="2" s="1"/>
  <c r="P51" i="2"/>
  <c r="S51" i="2" s="1"/>
  <c r="T51" i="2" s="1"/>
  <c r="P55" i="2"/>
  <c r="S55" i="2" s="1"/>
  <c r="T55" i="2" s="1"/>
  <c r="V55" i="2"/>
  <c r="W55" i="2" s="1"/>
  <c r="P59" i="2"/>
  <c r="S59" i="2" s="1"/>
  <c r="T59" i="2" s="1"/>
  <c r="V59" i="2"/>
  <c r="W59" i="2" s="1"/>
  <c r="V24" i="2"/>
  <c r="W24" i="2" s="1"/>
  <c r="V28" i="2"/>
  <c r="W28" i="2" s="1"/>
  <c r="V32" i="2"/>
  <c r="W32" i="2" s="1"/>
  <c r="V36" i="2"/>
  <c r="W36" i="2" s="1"/>
  <c r="V40" i="2"/>
  <c r="W40" i="2" s="1"/>
  <c r="V42" i="2"/>
  <c r="W42" i="2" s="1"/>
  <c r="U42" i="2"/>
  <c r="S42" i="2"/>
  <c r="T42" i="2" s="1"/>
  <c r="U44" i="2"/>
  <c r="V46" i="2"/>
  <c r="W46" i="2" s="1"/>
  <c r="U46" i="2"/>
  <c r="S46" i="2"/>
  <c r="T46" i="2" s="1"/>
  <c r="U48" i="2"/>
  <c r="V50" i="2"/>
  <c r="W50" i="2" s="1"/>
  <c r="U50" i="2"/>
  <c r="S50" i="2"/>
  <c r="T50" i="2" s="1"/>
  <c r="U52" i="2"/>
  <c r="V54" i="2"/>
  <c r="W54" i="2" s="1"/>
  <c r="U54" i="2"/>
  <c r="S54" i="2"/>
  <c r="T54" i="2" s="1"/>
  <c r="U56" i="2"/>
  <c r="V58" i="2"/>
  <c r="W58" i="2" s="1"/>
  <c r="U58" i="2"/>
  <c r="S58" i="2"/>
  <c r="T58" i="2" s="1"/>
  <c r="P63" i="2"/>
  <c r="S63" i="2" s="1"/>
  <c r="T63" i="2" s="1"/>
  <c r="P67" i="2"/>
  <c r="S67" i="2" s="1"/>
  <c r="T67" i="2" s="1"/>
  <c r="P71" i="2"/>
  <c r="S71" i="2" s="1"/>
  <c r="T71" i="2" s="1"/>
  <c r="P75" i="2"/>
  <c r="S75" i="2" s="1"/>
  <c r="T75" i="2" s="1"/>
  <c r="P79" i="2"/>
  <c r="S79" i="2" s="1"/>
  <c r="T79" i="2" s="1"/>
  <c r="P83" i="2"/>
  <c r="S83" i="2" s="1"/>
  <c r="T83" i="2" s="1"/>
  <c r="P87" i="2"/>
  <c r="S87" i="2" s="1"/>
  <c r="T87" i="2" s="1"/>
  <c r="P91" i="2"/>
  <c r="S91" i="2" s="1"/>
  <c r="T91" i="2" s="1"/>
  <c r="P95" i="2"/>
  <c r="S95" i="2" s="1"/>
  <c r="T95" i="2" s="1"/>
  <c r="S97" i="2"/>
  <c r="T97" i="2" s="1"/>
  <c r="S60" i="2"/>
  <c r="T60" i="2" s="1"/>
  <c r="V62" i="2"/>
  <c r="W62" i="2" s="1"/>
  <c r="U62" i="2"/>
  <c r="S62" i="2"/>
  <c r="T62" i="2" s="1"/>
  <c r="V66" i="2"/>
  <c r="W66" i="2" s="1"/>
  <c r="U66" i="2"/>
  <c r="S66" i="2"/>
  <c r="T66" i="2" s="1"/>
  <c r="V70" i="2"/>
  <c r="W70" i="2" s="1"/>
  <c r="U70" i="2"/>
  <c r="S70" i="2"/>
  <c r="T70" i="2" s="1"/>
  <c r="V74" i="2"/>
  <c r="W74" i="2" s="1"/>
  <c r="U74" i="2"/>
  <c r="S74" i="2"/>
  <c r="T74" i="2" s="1"/>
  <c r="V78" i="2"/>
  <c r="W78" i="2" s="1"/>
  <c r="U78" i="2"/>
  <c r="S78" i="2"/>
  <c r="T78" i="2" s="1"/>
  <c r="V82" i="2"/>
  <c r="W82" i="2" s="1"/>
  <c r="U82" i="2"/>
  <c r="S82" i="2"/>
  <c r="T82" i="2" s="1"/>
  <c r="V86" i="2"/>
  <c r="W86" i="2" s="1"/>
  <c r="U86" i="2"/>
  <c r="S86" i="2"/>
  <c r="T86" i="2" s="1"/>
  <c r="V90" i="2"/>
  <c r="W90" i="2" s="1"/>
  <c r="U90" i="2"/>
  <c r="S90" i="2"/>
  <c r="T90" i="2" s="1"/>
  <c r="V94" i="2"/>
  <c r="W94" i="2" s="1"/>
  <c r="U94" i="2"/>
  <c r="S94" i="2"/>
  <c r="T94" i="2" s="1"/>
  <c r="S44" i="2"/>
  <c r="T44" i="2" s="1"/>
  <c r="V45" i="2"/>
  <c r="W45" i="2" s="1"/>
  <c r="S48" i="2"/>
  <c r="T48" i="2" s="1"/>
  <c r="V49" i="2"/>
  <c r="W49" i="2" s="1"/>
  <c r="S52" i="2"/>
  <c r="T52" i="2" s="1"/>
  <c r="V53" i="2"/>
  <c r="W53" i="2" s="1"/>
  <c r="S56" i="2"/>
  <c r="T56" i="2" s="1"/>
  <c r="V57" i="2"/>
  <c r="W57" i="2" s="1"/>
  <c r="V61" i="2"/>
  <c r="W61" i="2" s="1"/>
  <c r="S64" i="2"/>
  <c r="T64" i="2" s="1"/>
  <c r="S68" i="2"/>
  <c r="T68" i="2" s="1"/>
  <c r="V69" i="2"/>
  <c r="W69" i="2" s="1"/>
  <c r="S72" i="2"/>
  <c r="T72" i="2" s="1"/>
  <c r="V73" i="2"/>
  <c r="W73" i="2" s="1"/>
  <c r="S76" i="2"/>
  <c r="T76" i="2" s="1"/>
  <c r="V77" i="2"/>
  <c r="W77" i="2" s="1"/>
  <c r="S80" i="2"/>
  <c r="T80" i="2" s="1"/>
  <c r="V81" i="2"/>
  <c r="W81" i="2" s="1"/>
  <c r="S84" i="2"/>
  <c r="T84" i="2" s="1"/>
  <c r="V85" i="2"/>
  <c r="W85" i="2" s="1"/>
  <c r="S88" i="2"/>
  <c r="T88" i="2" s="1"/>
  <c r="S92" i="2"/>
  <c r="T92" i="2" s="1"/>
  <c r="V93" i="2"/>
  <c r="W93" i="2" s="1"/>
  <c r="V97" i="2"/>
  <c r="W97" i="2" s="1"/>
  <c r="V91" i="2" l="1"/>
  <c r="W91" i="2" s="1"/>
  <c r="V16" i="2"/>
  <c r="W16" i="2" s="1"/>
  <c r="V47" i="2"/>
  <c r="W47" i="2" s="1"/>
  <c r="V13" i="2"/>
  <c r="W13" i="2" s="1"/>
  <c r="U35" i="2"/>
  <c r="V7" i="2"/>
  <c r="W7" i="2" s="1"/>
  <c r="S35" i="2"/>
  <c r="T35" i="2" s="1"/>
  <c r="V75" i="2"/>
  <c r="W75" i="2" s="1"/>
  <c r="V43" i="2"/>
  <c r="W43" i="2" s="1"/>
  <c r="S12" i="2"/>
  <c r="T12" i="2" s="1"/>
  <c r="S7" i="2"/>
  <c r="T7" i="2" s="1"/>
  <c r="S96" i="2"/>
  <c r="T96" i="2" s="1"/>
  <c r="U33" i="2"/>
  <c r="S65" i="2"/>
  <c r="T65" i="2" s="1"/>
  <c r="V65" i="2"/>
  <c r="W65" i="2" s="1"/>
  <c r="U91" i="2"/>
  <c r="U75" i="2"/>
  <c r="U29" i="2"/>
  <c r="S2" i="2"/>
  <c r="T2" i="2" s="1"/>
  <c r="V33" i="2"/>
  <c r="W33" i="2" s="1"/>
  <c r="V37" i="2"/>
  <c r="W37" i="2" s="1"/>
  <c r="U13" i="2"/>
  <c r="S89" i="2"/>
  <c r="T89" i="2" s="1"/>
  <c r="S53" i="2"/>
  <c r="T53" i="2" s="1"/>
  <c r="U31" i="2"/>
  <c r="S11" i="2"/>
  <c r="T11" i="2" s="1"/>
  <c r="S15" i="2"/>
  <c r="T15" i="2" s="1"/>
  <c r="V89" i="2"/>
  <c r="W89" i="2" s="1"/>
  <c r="U95" i="2"/>
  <c r="V87" i="2"/>
  <c r="W87" i="2" s="1"/>
  <c r="U79" i="2"/>
  <c r="V71" i="2"/>
  <c r="W71" i="2" s="1"/>
  <c r="U63" i="2"/>
  <c r="U47" i="2"/>
  <c r="V29" i="2"/>
  <c r="W29" i="2" s="1"/>
  <c r="V96" i="2"/>
  <c r="W96" i="2" s="1"/>
  <c r="S9" i="2"/>
  <c r="T9" i="2" s="1"/>
  <c r="S81" i="2"/>
  <c r="T81" i="2" s="1"/>
  <c r="S45" i="2"/>
  <c r="T45" i="2" s="1"/>
  <c r="S31" i="2"/>
  <c r="T31" i="2" s="1"/>
  <c r="U20" i="2"/>
  <c r="U83" i="2"/>
  <c r="U67" i="2"/>
  <c r="U51" i="2"/>
  <c r="V20" i="2"/>
  <c r="W20" i="2" s="1"/>
  <c r="U25" i="2"/>
  <c r="U21" i="2"/>
  <c r="U17" i="2"/>
  <c r="U41" i="2"/>
  <c r="V95" i="2"/>
  <c r="W95" i="2" s="1"/>
  <c r="U87" i="2"/>
  <c r="V79" i="2"/>
  <c r="W79" i="2" s="1"/>
  <c r="U71" i="2"/>
  <c r="V63" i="2"/>
  <c r="W63" i="2" s="1"/>
  <c r="U55" i="2"/>
  <c r="S25" i="2"/>
  <c r="T25" i="2" s="1"/>
  <c r="S16" i="2"/>
  <c r="T16" i="2" s="1"/>
  <c r="U12" i="2"/>
  <c r="U6" i="2"/>
  <c r="V21" i="2"/>
  <c r="W21" i="2" s="1"/>
  <c r="V41" i="2"/>
  <c r="W41" i="2" s="1"/>
  <c r="V83" i="2"/>
  <c r="W83" i="2" s="1"/>
  <c r="V67" i="2"/>
  <c r="W67" i="2" s="1"/>
  <c r="U59" i="2"/>
  <c r="V51" i="2"/>
  <c r="W51" i="2" s="1"/>
  <c r="U43" i="2"/>
  <c r="U37" i="2"/>
  <c r="V17" i="2"/>
  <c r="W17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H2" authorId="0" shapeId="0" xr:uid="{00000000-0006-0000-0100-000001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I2" authorId="0" shapeId="0" xr:uid="{00000000-0006-0000-0100-000002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H3" authorId="0" shapeId="0" xr:uid="{00000000-0006-0000-0100-000003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I3" authorId="0" shapeId="0" xr:uid="{00000000-0006-0000-0100-000004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H4" authorId="0" shapeId="0" xr:uid="{00000000-0006-0000-0100-000005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I4" authorId="0" shapeId="0" xr:uid="{00000000-0006-0000-0100-000006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H5" authorId="0" shapeId="0" xr:uid="{00000000-0006-0000-0100-000007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I5" authorId="0" shapeId="0" xr:uid="{00000000-0006-0000-0100-000008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H6" authorId="0" shapeId="0" xr:uid="{00000000-0006-0000-0100-000009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I6" authorId="0" shapeId="0" xr:uid="{00000000-0006-0000-0100-00000A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H7" authorId="0" shapeId="0" xr:uid="{00000000-0006-0000-0100-00000B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I7" authorId="0" shapeId="0" xr:uid="{00000000-0006-0000-0100-00000C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H8" authorId="0" shapeId="0" xr:uid="{00000000-0006-0000-0100-00000D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I8" authorId="0" shapeId="0" xr:uid="{00000000-0006-0000-0100-00000E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H9" authorId="0" shapeId="0" xr:uid="{00000000-0006-0000-0100-00000F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I9" authorId="0" shapeId="0" xr:uid="{00000000-0006-0000-0100-000010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https://sa.atscvresume.com/ | https://cv.petrax-sa.com/ | https://profoliocv.com/</t>
        </r>
      </text>
    </comment>
    <comment ref="H10" authorId="0" shapeId="0" xr:uid="{00000000-0006-0000-0100-000011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I10" authorId="0" shapeId="0" xr:uid="{00000000-0006-0000-0100-000012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H11" authorId="0" shapeId="0" xr:uid="{00000000-0006-0000-0100-000013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I11" authorId="0" shapeId="0" xr:uid="{00000000-0006-0000-0100-000014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H12" authorId="0" shapeId="0" xr:uid="{00000000-0006-0000-0100-000015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I12" authorId="0" shapeId="0" xr:uid="{00000000-0006-0000-0100-000016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H13" authorId="0" shapeId="0" xr:uid="{00000000-0006-0000-0100-000017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I13" authorId="0" shapeId="0" xr:uid="{00000000-0006-0000-0100-000018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H14" authorId="0" shapeId="0" xr:uid="{00000000-0006-0000-0100-000019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I14" authorId="0" shapeId="0" xr:uid="{00000000-0006-0000-0100-00001A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H15" authorId="0" shapeId="0" xr:uid="{00000000-0006-0000-0100-00001B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I15" authorId="0" shapeId="0" xr:uid="{00000000-0006-0000-0100-00001C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H16" authorId="0" shapeId="0" xr:uid="{00000000-0006-0000-0100-00001D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I16" authorId="0" shapeId="0" xr:uid="{00000000-0006-0000-0100-00001E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H17" authorId="0" shapeId="0" xr:uid="{00000000-0006-0000-0100-00001F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I17" authorId="0" shapeId="0" xr:uid="{00000000-0006-0000-0100-000020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https://primepixels.sa/pricing/logo-design | https://www.mssar.sa/BrandingPackages | https://insolvi.com/logo-design.html</t>
        </r>
      </text>
    </comment>
    <comment ref="H18" authorId="0" shapeId="0" xr:uid="{00000000-0006-0000-0100-000021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I18" authorId="0" shapeId="0" xr:uid="{00000000-0006-0000-0100-000022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H19" authorId="0" shapeId="0" xr:uid="{00000000-0006-0000-0100-000023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I19" authorId="0" shapeId="0" xr:uid="{00000000-0006-0000-0100-000024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H20" authorId="0" shapeId="0" xr:uid="{00000000-0006-0000-0100-000025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I20" authorId="0" shapeId="0" xr:uid="{00000000-0006-0000-0100-000026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H21" authorId="0" shapeId="0" xr:uid="{00000000-0006-0000-0100-000027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I21" authorId="0" shapeId="0" xr:uid="{00000000-0006-0000-0100-000028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H22" authorId="0" shapeId="0" xr:uid="{00000000-0006-0000-0100-000029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I22" authorId="0" shapeId="0" xr:uid="{00000000-0006-0000-0100-00002A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H23" authorId="0" shapeId="0" xr:uid="{00000000-0006-0000-0100-00002B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I23" authorId="0" shapeId="0" xr:uid="{00000000-0006-0000-0100-00002C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H24" authorId="0" shapeId="0" xr:uid="{00000000-0006-0000-0100-00002D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I24" authorId="0" shapeId="0" xr:uid="{00000000-0006-0000-0100-00002E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H25" authorId="0" shapeId="0" xr:uid="{00000000-0006-0000-0100-00002F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I25" authorId="0" shapeId="0" xr:uid="{00000000-0006-0000-0100-000030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</t>
        </r>
      </text>
    </comment>
    <comment ref="H26" authorId="0" shapeId="0" xr:uid="{00000000-0006-0000-0100-000031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I26" authorId="0" shapeId="0" xr:uid="{00000000-0006-0000-0100-000032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H27" authorId="0" shapeId="0" xr:uid="{00000000-0006-0000-0100-000033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I27" authorId="0" shapeId="0" xr:uid="{00000000-0006-0000-0100-000034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H28" authorId="0" shapeId="0" xr:uid="{00000000-0006-0000-0100-000035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I28" authorId="0" shapeId="0" xr:uid="{00000000-0006-0000-0100-000036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H29" authorId="0" shapeId="0" xr:uid="{00000000-0006-0000-0100-000037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I29" authorId="0" shapeId="0" xr:uid="{00000000-0006-0000-0100-000038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H30" authorId="0" shapeId="0" xr:uid="{00000000-0006-0000-0100-000039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I30" authorId="0" shapeId="0" xr:uid="{00000000-0006-0000-0100-00003A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H31" authorId="0" shapeId="0" xr:uid="{00000000-0006-0000-0100-00003B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I31" authorId="0" shapeId="0" xr:uid="{00000000-0006-0000-0100-00003C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H32" authorId="0" shapeId="0" xr:uid="{00000000-0006-0000-0100-00003D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I32" authorId="0" shapeId="0" xr:uid="{00000000-0006-0000-0100-00003E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H33" authorId="0" shapeId="0" xr:uid="{00000000-0006-0000-0100-00003F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I33" authorId="0" shapeId="0" xr:uid="{00000000-0006-0000-0100-000040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https://sauragency.com/ar/blog/%D8%B4%D8%B1%D9%83%D8%A9-%D9%83%D8%AA%D8%A7%D8%A8%D8%A9-%D9%85%D8%AD%D8%AA%D9%88%D9%89</t>
        </r>
      </text>
    </comment>
    <comment ref="H34" authorId="0" shapeId="0" xr:uid="{00000000-0006-0000-0100-000041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I34" authorId="0" shapeId="0" xr:uid="{00000000-0006-0000-0100-000042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H35" authorId="0" shapeId="0" xr:uid="{00000000-0006-0000-0100-000043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I35" authorId="0" shapeId="0" xr:uid="{00000000-0006-0000-0100-000044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H36" authorId="0" shapeId="0" xr:uid="{00000000-0006-0000-0100-000045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I36" authorId="0" shapeId="0" xr:uid="{00000000-0006-0000-0100-000046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H37" authorId="0" shapeId="0" xr:uid="{00000000-0006-0000-0100-000047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I37" authorId="0" shapeId="0" xr:uid="{00000000-0006-0000-0100-000048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H38" authorId="0" shapeId="0" xr:uid="{00000000-0006-0000-0100-000049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I38" authorId="0" shapeId="0" xr:uid="{00000000-0006-0000-0100-00004A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H39" authorId="0" shapeId="0" xr:uid="{00000000-0006-0000-0100-00004B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I39" authorId="0" shapeId="0" xr:uid="{00000000-0006-0000-0100-00004C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H40" authorId="0" shapeId="0" xr:uid="{00000000-0006-0000-0100-00004D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I40" authorId="0" shapeId="0" xr:uid="{00000000-0006-0000-0100-00004E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H41" authorId="0" shapeId="0" xr:uid="{00000000-0006-0000-0100-00004F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I41" authorId="0" shapeId="0" xr:uid="{00000000-0006-0000-0100-000050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https://www.sporkyads.com/en/post/company-profile-services-ksa | https://gda-2026-site.web.app/en/services/company-profile/</t>
        </r>
      </text>
    </comment>
    <comment ref="H42" authorId="0" shapeId="0" xr:uid="{00000000-0006-0000-0100-000051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I42" authorId="0" shapeId="0" xr:uid="{00000000-0006-0000-0100-000052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H43" authorId="0" shapeId="0" xr:uid="{00000000-0006-0000-0100-000053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I43" authorId="0" shapeId="0" xr:uid="{00000000-0006-0000-0100-000054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H44" authorId="0" shapeId="0" xr:uid="{00000000-0006-0000-0100-000055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I44" authorId="0" shapeId="0" xr:uid="{00000000-0006-0000-0100-000056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H45" authorId="0" shapeId="0" xr:uid="{00000000-0006-0000-0100-000057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I45" authorId="0" shapeId="0" xr:uid="{00000000-0006-0000-0100-000058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H46" authorId="0" shapeId="0" xr:uid="{00000000-0006-0000-0100-000059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I46" authorId="0" shapeId="0" xr:uid="{00000000-0006-0000-0100-00005A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H47" authorId="0" shapeId="0" xr:uid="{00000000-0006-0000-0100-00005B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I47" authorId="0" shapeId="0" xr:uid="{00000000-0006-0000-0100-00005C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H48" authorId="0" shapeId="0" xr:uid="{00000000-0006-0000-0100-00005D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I48" authorId="0" shapeId="0" xr:uid="{00000000-0006-0000-0100-00005E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H49" authorId="0" shapeId="0" xr:uid="{00000000-0006-0000-0100-00005F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I49" authorId="0" shapeId="0" xr:uid="{00000000-0006-0000-0100-000060000000}">
      <text>
        <r>
          <rPr>
            <sz val="11"/>
            <color theme="1"/>
            <rFont val="Arial"/>
            <family val="2"/>
            <scheme val="minor"/>
          </rPr>
          <t>Benchmark sources for this track: https://primepixels.sa/pricing/social-media | https://www.briefiction.com/ar/package | https://khaledmktg.com/en/package-addon-social</t>
        </r>
      </text>
    </comment>
    <comment ref="H50" authorId="0" shapeId="0" xr:uid="{00000000-0006-0000-0100-000061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I50" authorId="0" shapeId="0" xr:uid="{00000000-0006-0000-0100-000062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H51" authorId="0" shapeId="0" xr:uid="{00000000-0006-0000-0100-000063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I51" authorId="0" shapeId="0" xr:uid="{00000000-0006-0000-0100-000064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H52" authorId="0" shapeId="0" xr:uid="{00000000-0006-0000-0100-000065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I52" authorId="0" shapeId="0" xr:uid="{00000000-0006-0000-0100-000066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H53" authorId="0" shapeId="0" xr:uid="{00000000-0006-0000-0100-000067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I53" authorId="0" shapeId="0" xr:uid="{00000000-0006-0000-0100-000068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H54" authorId="0" shapeId="0" xr:uid="{00000000-0006-0000-0100-000069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I54" authorId="0" shapeId="0" xr:uid="{00000000-0006-0000-0100-00006A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H55" authorId="0" shapeId="0" xr:uid="{00000000-0006-0000-0100-00006B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I55" authorId="0" shapeId="0" xr:uid="{00000000-0006-0000-0100-00006C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H56" authorId="0" shapeId="0" xr:uid="{00000000-0006-0000-0100-00006D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I56" authorId="0" shapeId="0" xr:uid="{00000000-0006-0000-0100-00006E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H57" authorId="0" shapeId="0" xr:uid="{00000000-0006-0000-0100-00006F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I57" authorId="0" shapeId="0" xr:uid="{00000000-0006-0000-0100-000070000000}">
      <text>
        <r>
          <rPr>
            <sz val="11"/>
            <color theme="1"/>
            <rFont val="Arial"/>
            <family val="2"/>
            <scheme val="minor"/>
          </rPr>
          <t>Benchmark sources for this track: https://www.briefiction.com/ar/package | https://gda.sa/en</t>
        </r>
      </text>
    </comment>
    <comment ref="H58" authorId="0" shapeId="0" xr:uid="{00000000-0006-0000-0100-000071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I58" authorId="0" shapeId="0" xr:uid="{00000000-0006-0000-0100-000072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H59" authorId="0" shapeId="0" xr:uid="{00000000-0006-0000-0100-000073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I59" authorId="0" shapeId="0" xr:uid="{00000000-0006-0000-0100-000074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H60" authorId="0" shapeId="0" xr:uid="{00000000-0006-0000-0100-000075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I60" authorId="0" shapeId="0" xr:uid="{00000000-0006-0000-0100-000076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H61" authorId="0" shapeId="0" xr:uid="{00000000-0006-0000-0100-000077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I61" authorId="0" shapeId="0" xr:uid="{00000000-0006-0000-0100-000078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H62" authorId="0" shapeId="0" xr:uid="{00000000-0006-0000-0100-000079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I62" authorId="0" shapeId="0" xr:uid="{00000000-0006-0000-0100-00007A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H63" authorId="0" shapeId="0" xr:uid="{00000000-0006-0000-0100-00007B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I63" authorId="0" shapeId="0" xr:uid="{00000000-0006-0000-0100-00007C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H64" authorId="0" shapeId="0" xr:uid="{00000000-0006-0000-0100-00007D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I64" authorId="0" shapeId="0" xr:uid="{00000000-0006-0000-0100-00007E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H65" authorId="0" shapeId="0" xr:uid="{00000000-0006-0000-0100-00007F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I65" authorId="0" shapeId="0" xr:uid="{00000000-0006-0000-0100-000080000000}">
      <text>
        <r>
          <rPr>
            <sz val="11"/>
            <color theme="1"/>
            <rFont val="Arial"/>
            <family val="2"/>
            <scheme val="minor"/>
          </rPr>
          <t>Benchmark sources for this track: https://safwaweb.com/ar/website-cost-saudi-arabia | https://www.creativeedigital.com/en/blogs/how-much-does-a-website-cost-in-saudi-arabia-2026-pricing-guide-for-riyadh-businesses</t>
        </r>
      </text>
    </comment>
    <comment ref="H66" authorId="0" shapeId="0" xr:uid="{00000000-0006-0000-0100-000081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I66" authorId="0" shapeId="0" xr:uid="{00000000-0006-0000-0100-000082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H67" authorId="0" shapeId="0" xr:uid="{00000000-0006-0000-0100-000083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I67" authorId="0" shapeId="0" xr:uid="{00000000-0006-0000-0100-000084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H68" authorId="0" shapeId="0" xr:uid="{00000000-0006-0000-0100-000085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I68" authorId="0" shapeId="0" xr:uid="{00000000-0006-0000-0100-000086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H69" authorId="0" shapeId="0" xr:uid="{00000000-0006-0000-0100-000087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I69" authorId="0" shapeId="0" xr:uid="{00000000-0006-0000-0100-000088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H70" authorId="0" shapeId="0" xr:uid="{00000000-0006-0000-0100-000089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I70" authorId="0" shapeId="0" xr:uid="{00000000-0006-0000-0100-00008A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H71" authorId="0" shapeId="0" xr:uid="{00000000-0006-0000-0100-00008B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I71" authorId="0" shapeId="0" xr:uid="{00000000-0006-0000-0100-00008C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H72" authorId="0" shapeId="0" xr:uid="{00000000-0006-0000-0100-00008D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I72" authorId="0" shapeId="0" xr:uid="{00000000-0006-0000-0100-00008E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H73" authorId="0" shapeId="0" xr:uid="{00000000-0006-0000-0100-00008F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I73" authorId="0" shapeId="0" xr:uid="{00000000-0006-0000-0100-000090000000}">
      <text>
        <r>
          <rPr>
            <sz val="11"/>
            <color theme="1"/>
            <rFont val="Arial"/>
            <family val="2"/>
            <scheme val="minor"/>
          </rPr>
          <t>Benchmark sources for this track: https://automation-ksa.com/en/packages/n8n-automation-packages</t>
        </r>
      </text>
    </comment>
    <comment ref="H74" authorId="0" shapeId="0" xr:uid="{00000000-0006-0000-0100-000091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I74" authorId="0" shapeId="0" xr:uid="{00000000-0006-0000-0100-000092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H75" authorId="0" shapeId="0" xr:uid="{00000000-0006-0000-0100-000093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I75" authorId="0" shapeId="0" xr:uid="{00000000-0006-0000-0100-000094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H76" authorId="0" shapeId="0" xr:uid="{00000000-0006-0000-0100-000095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I76" authorId="0" shapeId="0" xr:uid="{00000000-0006-0000-0100-000096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H77" authorId="0" shapeId="0" xr:uid="{00000000-0006-0000-0100-000097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I77" authorId="0" shapeId="0" xr:uid="{00000000-0006-0000-0100-000098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H78" authorId="0" shapeId="0" xr:uid="{00000000-0006-0000-0100-000099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I78" authorId="0" shapeId="0" xr:uid="{00000000-0006-0000-0100-00009A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H79" authorId="0" shapeId="0" xr:uid="{00000000-0006-0000-0100-00009B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I79" authorId="0" shapeId="0" xr:uid="{00000000-0006-0000-0100-00009C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H80" authorId="0" shapeId="0" xr:uid="{00000000-0006-0000-0100-00009D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I80" authorId="0" shapeId="0" xr:uid="{00000000-0006-0000-0100-00009E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H81" authorId="0" shapeId="0" xr:uid="{00000000-0006-0000-0100-00009F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I81" authorId="0" shapeId="0" xr:uid="{00000000-0006-0000-0100-0000A0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content/agency pricing; see https://sauragency.com/ar/blog/%D8%B4%D8%B1%D9%83%D8%A9-%D9%83%D8%AA%D8%A7%D8%A8%D8%A9-%D9%85%D8%AD%D8%AA%D9%88%D9%89</t>
        </r>
      </text>
    </comment>
    <comment ref="H82" authorId="0" shapeId="0" xr:uid="{00000000-0006-0000-0100-0000A1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I82" authorId="0" shapeId="0" xr:uid="{00000000-0006-0000-0100-0000A2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H83" authorId="0" shapeId="0" xr:uid="{00000000-0006-0000-0100-0000A3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I83" authorId="0" shapeId="0" xr:uid="{00000000-0006-0000-0100-0000A4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H84" authorId="0" shapeId="0" xr:uid="{00000000-0006-0000-0100-0000A5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I84" authorId="0" shapeId="0" xr:uid="{00000000-0006-0000-0100-0000A6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H85" authorId="0" shapeId="0" xr:uid="{00000000-0006-0000-0100-0000A7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I85" authorId="0" shapeId="0" xr:uid="{00000000-0006-0000-0100-0000A8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H86" authorId="0" shapeId="0" xr:uid="{00000000-0006-0000-0100-0000A9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I86" authorId="0" shapeId="0" xr:uid="{00000000-0006-0000-0100-0000AA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H87" authorId="0" shapeId="0" xr:uid="{00000000-0006-0000-0100-0000AB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I87" authorId="0" shapeId="0" xr:uid="{00000000-0006-0000-0100-0000AC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H88" authorId="0" shapeId="0" xr:uid="{00000000-0006-0000-0100-0000AD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I88" authorId="0" shapeId="0" xr:uid="{00000000-0006-0000-0100-0000AE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H89" authorId="0" shapeId="0" xr:uid="{00000000-0006-0000-0100-0000AF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I89" authorId="0" shapeId="0" xr:uid="{00000000-0006-0000-0100-0000B0000000}">
      <text>
        <r>
          <rPr>
            <sz val="11"/>
            <color theme="1"/>
            <rFont val="Arial"/>
            <family val="2"/>
            <scheme val="minor"/>
          </rPr>
          <t>Benchmark sources for this track: Custom training-material providers commonly quote case-by-case; scope reference: https://potc.sa/en/services/training-materials</t>
        </r>
      </text>
    </comment>
    <comment ref="H90" authorId="0" shapeId="0" xr:uid="{00000000-0006-0000-0100-0000B1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I90" authorId="0" shapeId="0" xr:uid="{00000000-0006-0000-0100-0000B2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H91" authorId="0" shapeId="0" xr:uid="{00000000-0006-0000-0100-0000B3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I91" authorId="0" shapeId="0" xr:uid="{00000000-0006-0000-0100-0000B4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H92" authorId="0" shapeId="0" xr:uid="{00000000-0006-0000-0100-0000B5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I92" authorId="0" shapeId="0" xr:uid="{00000000-0006-0000-0100-0000B6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H93" authorId="0" shapeId="0" xr:uid="{00000000-0006-0000-0100-0000B7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I93" authorId="0" shapeId="0" xr:uid="{00000000-0006-0000-0100-0000B8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H94" authorId="0" shapeId="0" xr:uid="{00000000-0006-0000-0100-0000B9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I94" authorId="0" shapeId="0" xr:uid="{00000000-0006-0000-0100-0000BA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H95" authorId="0" shapeId="0" xr:uid="{00000000-0006-0000-0100-0000BB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I95" authorId="0" shapeId="0" xr:uid="{00000000-0006-0000-0100-0000BC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H96" authorId="0" shapeId="0" xr:uid="{00000000-0006-0000-0100-0000BD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I96" authorId="0" shapeId="0" xr:uid="{00000000-0006-0000-0100-0000BE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H97" authorId="0" shapeId="0" xr:uid="{00000000-0006-0000-0100-0000BF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  <comment ref="I97" authorId="0" shapeId="0" xr:uid="{00000000-0006-0000-0100-0000C0000000}">
      <text>
        <r>
          <rPr>
            <sz val="11"/>
            <color theme="1"/>
            <rFont val="Arial"/>
            <family val="2"/>
            <scheme val="minor"/>
          </rPr>
          <t>Benchmark sources for this track: Internal scope benchmark calibrated against Saudi agency creative/profile pricing; see https://gda.sa/en and https://www.briefiction.com/ar/package</t>
        </r>
      </text>
    </comment>
  </commentList>
</comments>
</file>

<file path=xl/sharedStrings.xml><?xml version="1.0" encoding="utf-8"?>
<sst xmlns="http://schemas.openxmlformats.org/spreadsheetml/2006/main" count="2207" uniqueCount="1157">
  <si>
    <t>FARIS 360 | دليل تسعير وتشغيل 96 خدمة - V3</t>
  </si>
  <si>
    <t>تموضع الإطلاق: أسعار تنافسية + نطاق واضح + ربح تشغيلي محمي + سلم قيمة متصاعد</t>
  </si>
  <si>
    <t>عدد الخدمات</t>
  </si>
  <si>
    <t>عدد المسارات</t>
  </si>
  <si>
    <t>أقل سعر</t>
  </si>
  <si>
    <t>أعلى سعر كتالوج</t>
  </si>
  <si>
    <t>هدف الهامش بعد العمولة</t>
  </si>
  <si>
    <t>عمولة الإحالة المفترضة</t>
  </si>
  <si>
    <t>قرارات التسعير</t>
  </si>
  <si>
    <t>• الخدمات منخفضة السعر (29-299) هي منتجات جذب وتشغيل سريع؛ لا تُحمّل بإشراف فارس المباشر لكل طلب.</t>
  </si>
  <si>
    <t>• السعر العام لا يشرح أدوات الإنتاج الداخلية؛ نعلن الذكاء الاصطناعي والأتمتة فقط عندما تكون هي الخدمة المباعة.</t>
  </si>
  <si>
    <t>• الخصم لا يطبق آليًا؛ يُستخدم عمود "مجال الخصم الآمن"، أو يُخفض النطاق بدل كسر الهامش.</t>
  </si>
  <si>
    <t>• التكاليف الخارجية (إعلانات، طباعة، استضافة خاصة، تراخيص، تصوير خارجي...) تُفصل وتحصّل من العميل.</t>
  </si>
  <si>
    <t>• هدف الكتالوج أن يكون تحت السوق المهني في أغلب الخدمات، لا أن ينافس أرخص بائع في كل خدمة.</t>
  </si>
  <si>
    <t>• كل خدمة لها Upsell وCross-sell وDownsell وMicro-Delight وفق FARIS 360.</t>
  </si>
  <si>
    <t>ملخص المسارات</t>
  </si>
  <si>
    <t>المسار</t>
  </si>
  <si>
    <t>الخدمات</t>
  </si>
  <si>
    <t>أدنى سعر</t>
  </si>
  <si>
    <t>أعلى سعر</t>
  </si>
  <si>
    <t>متوسط السعر</t>
  </si>
  <si>
    <t>سعر سوق أدنى تقريبي</t>
  </si>
  <si>
    <t>سعر سوق أعلى تقريبي</t>
  </si>
  <si>
    <t>مصدر مرجعي</t>
  </si>
  <si>
    <t>الهوية المهنية للأفراد</t>
  </si>
  <si>
    <t>https://sa.atscvresume.com/ | https://cv.petrax-sa.com/ | https://profoliocv.com/</t>
  </si>
  <si>
    <t>التسمية والعلامة والهوية البصرية</t>
  </si>
  <si>
    <t>https://primepixels.sa/pricing/logo-design | https://www.mssar.sa/BrandingPackages | https://insolvi.com/logo-design.html</t>
  </si>
  <si>
    <t>التصميم الجرافيكي والمطبوعات</t>
  </si>
  <si>
    <t>https://www.briefiction.com/ar/package</t>
  </si>
  <si>
    <t>كتابة المحتوى والنصوص التسويقية</t>
  </si>
  <si>
    <t>https://sauragency.com/ar/blog/%D8%B4%D8%B1%D9%83%D8%A9-%D9%83%D8%AA%D8%A7%D8%A8%D8%A9-%D9%85%D8%AD%D8%AA%D9%88%D9%89</t>
  </si>
  <si>
    <t>الملفات التعريفية والعروض والتقارير</t>
  </si>
  <si>
    <t>https://www.sporkyads.com/en/post/company-profile-services-ksa | https://gda-2026-site.web.app/en/services/company-profile/</t>
  </si>
  <si>
    <t>إدارة المنصات والتسويق والظهور</t>
  </si>
  <si>
    <t>https://primepixels.sa/pricing/social-media | https://www.briefiction.com/ar/package | https://khaledmktg.com/en/package-addon-social</t>
  </si>
  <si>
    <t>الفيديو والريلز والبودكاست والإنتاج</t>
  </si>
  <si>
    <t>https://www.briefiction.com/ar/package | https://gda.sa/en</t>
  </si>
  <si>
    <t>المواقع والمتاجر والصفحات الرقمية</t>
  </si>
  <si>
    <t>https://safwaweb.com/ar/website-cost-saudi-arabia | https://www.creativeedigital.com/en/blogs/how-much-does-a-website-cost-in-saudi-arabia-2026-pricing-guide-for-riyadh-businesses</t>
  </si>
  <si>
    <t>الأتمتة والذكاء الاصطناعي وإدارة العملاء</t>
  </si>
  <si>
    <t>https://automation-ksa.com/en/packages/n8n-automation-packages</t>
  </si>
  <si>
    <t>البحوث والبيانات والاستراتيجيات</t>
  </si>
  <si>
    <t>Internal scope benchmark calibrated against Saudi content/agency pricing; see https://sauragency.com/ar/blog/%D8%B4%D8%B1%D9%83%D8%A9-%D9%83%D8%AA%D8%A7%D8%A8%D8%A9-%D9%85%D8%AD%D8%AA%D9%88%D9%89</t>
  </si>
  <si>
    <t>التدريب والمنتجات المعرفية</t>
  </si>
  <si>
    <t>Custom training-material providers commonly quote case-by-case; scope reference: https://potc.sa/en/services/training-materials</t>
  </si>
  <si>
    <t>العلاقات العامة والحملات والإطلاقات</t>
  </si>
  <si>
    <t>Internal scope benchmark calibrated against Saudi agency creative/profile pricing; see https://gda.sa/en and https://www.briefiction.com/ar/package</t>
  </si>
  <si>
    <t>#</t>
  </si>
  <si>
    <t>الاسم الداخلي</t>
  </si>
  <si>
    <t>اسم العرض العام</t>
  </si>
  <si>
    <t>الجمهور</t>
  </si>
  <si>
    <t>النتيجة/الوعد</t>
  </si>
  <si>
    <t>سعر الكتالوج (ر.س)</t>
  </si>
  <si>
    <t>مرجع السوق الأدنى</t>
  </si>
  <si>
    <t>مرجع السوق الأعلى</t>
  </si>
  <si>
    <t>ساعات التنفيذ</t>
  </si>
  <si>
    <t>تكلفة ساعة التنفيذ</t>
  </si>
  <si>
    <t>ساعات إشراف فارس</t>
  </si>
  <si>
    <t>حصة المنصات</t>
  </si>
  <si>
    <t>تكلفة مورد خارجي</t>
  </si>
  <si>
    <t>التكلفة الأساسية</t>
  </si>
  <si>
    <t>احتياطي الجودة</t>
  </si>
  <si>
    <t>رسوم التحصيل</t>
  </si>
  <si>
    <t>تكلفة العمولة</t>
  </si>
  <si>
    <t>إجمالي التكلفة بعد العمولة</t>
  </si>
  <si>
    <t>الهامش بعد العمولة</t>
  </si>
  <si>
    <t>هامش مباشر</t>
  </si>
  <si>
    <t>سعر أرضية 50% بعد العمولة</t>
  </si>
  <si>
    <t>مجال الخصم الآمن</t>
  </si>
  <si>
    <t>سلم القيمة</t>
  </si>
  <si>
    <t>Upsell</t>
  </si>
  <si>
    <t>Cross-sell</t>
  </si>
  <si>
    <t>Downsell</t>
  </si>
  <si>
    <t>Add-on</t>
  </si>
  <si>
    <t>Micro-Delight</t>
  </si>
  <si>
    <t>الإثبات</t>
  </si>
  <si>
    <t>الخطر الرئيس</t>
  </si>
  <si>
    <t>SLA</t>
  </si>
  <si>
    <t>التعديلات</t>
  </si>
  <si>
    <t>قابلية التشغيل</t>
  </si>
  <si>
    <t>تصنيف البيانات</t>
  </si>
  <si>
    <t>CTA</t>
  </si>
  <si>
    <t>درجة FARIS 360</t>
  </si>
  <si>
    <t>التصنيف</t>
  </si>
  <si>
    <t>مصدر benchmark</t>
  </si>
  <si>
    <t>سيرة ذاتية عربية ATS</t>
  </si>
  <si>
    <t>أفراد/باحثو عمل</t>
  </si>
  <si>
    <t>سيرة مرتبة ومتوافقة مع ATS</t>
  </si>
  <si>
    <t>جذب</t>
  </si>
  <si>
    <t>LinkedIn 99</t>
  </si>
  <si>
    <t>خطاب تقديم 39</t>
  </si>
  <si>
    <t>مراجعة سيرة 29</t>
  </si>
  <si>
    <t>تسليم عاجل</t>
  </si>
  <si>
    <t>10 كلمات مفتاحية وظيفية</t>
  </si>
  <si>
    <t>عينة قبل/بعد</t>
  </si>
  <si>
    <t>تعديلات مفتوحة أو معلومات ناقصة</t>
  </si>
  <si>
    <t>1-2 يوم</t>
  </si>
  <si>
    <t>1</t>
  </si>
  <si>
    <t>عالية</t>
  </si>
  <si>
    <t>شخصية</t>
  </si>
  <si>
    <t>اطلب سيرتك</t>
  </si>
  <si>
    <t>نجمي</t>
  </si>
  <si>
    <t>سيرة ذاتية إنجليزية ATS</t>
  </si>
  <si>
    <t>سيرة إنجليزية احترافية ومتوافقة مع ATS</t>
  </si>
  <si>
    <t>دخول</t>
  </si>
  <si>
    <t>تحسين سيرة جاهزة 29</t>
  </si>
  <si>
    <t>قائمة كلمات مفتاحية</t>
  </si>
  <si>
    <t>ضعف اللغة المصدرية</t>
  </si>
  <si>
    <t>اطلب الآن</t>
  </si>
  <si>
    <t>أساسي</t>
  </si>
  <si>
    <t>سيرة ذاتية ثنائية اللغة</t>
  </si>
  <si>
    <t>سيرة عربية + إنجليزية</t>
  </si>
  <si>
    <t>أفراد/محترفون</t>
  </si>
  <si>
    <t>نسختان متسقتان للمسار المهني</t>
  </si>
  <si>
    <t>أساسية</t>
  </si>
  <si>
    <t>باقة مهنية 199</t>
  </si>
  <si>
    <t>سيرة لغة واحدة 49</t>
  </si>
  <si>
    <t>استهداف وظيفة محددة</t>
  </si>
  <si>
    <t>Checklist تقديم</t>
  </si>
  <si>
    <t>نموذج تسليم</t>
  </si>
  <si>
    <t>اختلاف المعلومات بين النسختين</t>
  </si>
  <si>
    <t>2 يوم</t>
  </si>
  <si>
    <t>ابدأ طلبك</t>
  </si>
  <si>
    <t>سيرة تنفيذية للقيادات</t>
  </si>
  <si>
    <t>مديرون/قيادات</t>
  </si>
  <si>
    <t>صياغة إنجازات وقيادة بصورة تنفيذية</t>
  </si>
  <si>
    <t>احترافية</t>
  </si>
  <si>
    <t>باقة قيادية</t>
  </si>
  <si>
    <t>LinkedIn تنفيذي</t>
  </si>
  <si>
    <t>سيرة ATS 59</t>
  </si>
  <si>
    <t>جلسة 30 دقيقة</t>
  </si>
  <si>
    <t>مصفوفة إنجازات</t>
  </si>
  <si>
    <t>عينة تنفيذية</t>
  </si>
  <si>
    <t>الحاجة لمقابلة أعمق</t>
  </si>
  <si>
    <t>2-3 أيام</t>
  </si>
  <si>
    <t>2</t>
  </si>
  <si>
    <t>متوسطة</t>
  </si>
  <si>
    <t>احجز مراجعة</t>
  </si>
  <si>
    <t>تطوير ملف LinkedIn</t>
  </si>
  <si>
    <t>تحسين ملف LinkedIn</t>
  </si>
  <si>
    <t>محترفون/خبراء</t>
  </si>
  <si>
    <t>ملف أوضح وأكثر قابلية للاكتشاف</t>
  </si>
  <si>
    <t>سيرة ثنائية 89</t>
  </si>
  <si>
    <t>مراجعة LinkedIn 49</t>
  </si>
  <si>
    <t>بانر لينكدإن</t>
  </si>
  <si>
    <t>20 كلمة مفتاحية</t>
  </si>
  <si>
    <t>Before/After</t>
  </si>
  <si>
    <t>عدم توفر بيانات كافية</t>
  </si>
  <si>
    <t>طوّر ملفك</t>
  </si>
  <si>
    <t>خطاب تقديم وظيفي</t>
  </si>
  <si>
    <t>باحثو عمل</t>
  </si>
  <si>
    <t>خطاب مخصص لمسار وظيفي واحد</t>
  </si>
  <si>
    <t>إضافة</t>
  </si>
  <si>
    <t>سيرة ATS 49</t>
  </si>
  <si>
    <t>نبذة مهنية 29</t>
  </si>
  <si>
    <t>تخصيص لوظيفة ثانية</t>
  </si>
  <si>
    <t>صيغة قابلة للتعديل</t>
  </si>
  <si>
    <t>نموذج</t>
  </si>
  <si>
    <t>استخدام خطاب عام جدًا</t>
  </si>
  <si>
    <t>1 يوم</t>
  </si>
  <si>
    <t>أضف الخطاب</t>
  </si>
  <si>
    <t>نبذة مهنية احترافية</t>
  </si>
  <si>
    <t>نبذة قصيرة وموسعة للاستخدام الرقمي</t>
  </si>
  <si>
    <t>سيرة ATS</t>
  </si>
  <si>
    <t>نسخة قصيرة فقط 29</t>
  </si>
  <si>
    <t>3 نبرات</t>
  </si>
  <si>
    <t>نسخة قصيرة مجانية</t>
  </si>
  <si>
    <t>غموض التموضع</t>
  </si>
  <si>
    <t>اطلب النبذة</t>
  </si>
  <si>
    <t>باقة الهوية المهنية</t>
  </si>
  <si>
    <t>محترفون</t>
  </si>
  <si>
    <t>سيرة + LinkedIn + خطاب + نبذة</t>
  </si>
  <si>
    <t>باقة</t>
  </si>
  <si>
    <t>هوية خبير رقمية</t>
  </si>
  <si>
    <t>موقع شخصي</t>
  </si>
  <si>
    <t>استهداف وظيفة</t>
  </si>
  <si>
    <t>مراجعة ATS إضافية</t>
  </si>
  <si>
    <t>حزمة نموذجية</t>
  </si>
  <si>
    <t>اتساع النطاق</t>
  </si>
  <si>
    <t>3 أيام</t>
  </si>
  <si>
    <t>اختر الباقة</t>
  </si>
  <si>
    <t>اقتراح اسم علامة</t>
  </si>
  <si>
    <t>ابتكار اسم علامة</t>
  </si>
  <si>
    <t>مشاريع ناشئة</t>
  </si>
  <si>
    <t>أسماء قابلة للبناء التسويقي مع فحص أولي</t>
  </si>
  <si>
    <t>شعار 790</t>
  </si>
  <si>
    <t>Tagline 149</t>
  </si>
  <si>
    <t>5 أسماء فقط 199</t>
  </si>
  <si>
    <t>فحص نطاقات</t>
  </si>
  <si>
    <t>قائمة معايير الاسم</t>
  </si>
  <si>
    <t>الخلط بين الفحص التسويقي والقانوني</t>
  </si>
  <si>
    <t>داخلية</t>
  </si>
  <si>
    <t>ابدأ التسمية</t>
  </si>
  <si>
    <t>ابتكار شعار لفظي Tagline</t>
  </si>
  <si>
    <t>ابتكار شعار لفظي</t>
  </si>
  <si>
    <t>علامات/حملات</t>
  </si>
  <si>
    <t>عبارات قصيرة تعكس الوعد والتموضع</t>
  </si>
  <si>
    <t>استراتيجية رسالة</t>
  </si>
  <si>
    <t>هوية</t>
  </si>
  <si>
    <t>5 مقترحات 99</t>
  </si>
  <si>
    <t>نسخة إنجليزية</t>
  </si>
  <si>
    <t>3 اتجاهات نبرة</t>
  </si>
  <si>
    <t>أمثلة</t>
  </si>
  <si>
    <t>الاعتماد على ذوق واحد</t>
  </si>
  <si>
    <t>اطلب الشعار اللفظي</t>
  </si>
  <si>
    <t>تصميم شعار تأسيسي</t>
  </si>
  <si>
    <t>مشاريع صغيرة</t>
  </si>
  <si>
    <t>شعار بداية واضح بملفات أساسية</t>
  </si>
  <si>
    <t>شعار احترافي 790</t>
  </si>
  <si>
    <t>هوية مصغرة</t>
  </si>
  <si>
    <t>شعار قالب 249</t>
  </si>
  <si>
    <t>تسليم ملفات مفتوحة</t>
  </si>
  <si>
    <t>صورة ملف شخصية</t>
  </si>
  <si>
    <t>نماذج أعمال</t>
  </si>
  <si>
    <t>التعديلات الجذرية</t>
  </si>
  <si>
    <t>4-5 أيام</t>
  </si>
  <si>
    <t>عامة</t>
  </si>
  <si>
    <t>ابدأ شعارك</t>
  </si>
  <si>
    <t>تصميم شعار احترافي</t>
  </si>
  <si>
    <t>منشآت/خبراء</t>
  </si>
  <si>
    <t>شعار مدروس مع اتجاهات واستخدامات</t>
  </si>
  <si>
    <t>هوية مصغرة 1490</t>
  </si>
  <si>
    <t>قوالب منصات</t>
  </si>
  <si>
    <t>شعار تأسيسي 399</t>
  </si>
  <si>
    <t>دليل مصغر</t>
  </si>
  <si>
    <t>Mockup إضافي</t>
  </si>
  <si>
    <t>دراسة حالة</t>
  </si>
  <si>
    <t>توقعات مفاهيم كثيرة</t>
  </si>
  <si>
    <t>5-7 أيام</t>
  </si>
  <si>
    <t>ابدأ الهوية</t>
  </si>
  <si>
    <t>هوية بصرية مصغرة</t>
  </si>
  <si>
    <t>شعار + ألوان + خطوط + تطبيقات أساسية</t>
  </si>
  <si>
    <t>هوية متكاملة 2990</t>
  </si>
  <si>
    <t>ملف تعريفي</t>
  </si>
  <si>
    <t>شعار احترافي</t>
  </si>
  <si>
    <t>قوالب إضافية</t>
  </si>
  <si>
    <t>قالب سوشال إضافي</t>
  </si>
  <si>
    <t>Portfolio</t>
  </si>
  <si>
    <t>زيادة التطبيقات</t>
  </si>
  <si>
    <t>7-10 أيام</t>
  </si>
  <si>
    <t>ابنِ هويتك</t>
  </si>
  <si>
    <t>هوية بصرية متكاملة</t>
  </si>
  <si>
    <t>منشآت صغيرة/متوسطة</t>
  </si>
  <si>
    <t>نظام بصري ودليل وتطبيقات متعددة</t>
  </si>
  <si>
    <t>نظام علامة 4990</t>
  </si>
  <si>
    <t>موقع/بروفايل</t>
  </si>
  <si>
    <t>تطبيقات موسعة</t>
  </si>
  <si>
    <t>قالب عرض</t>
  </si>
  <si>
    <t>توسع التطبيق دون تسعير</t>
  </si>
  <si>
    <t>10-15 يوم</t>
  </si>
  <si>
    <t>اطلب العرض</t>
  </si>
  <si>
    <t>نظام علامة استراتيجي</t>
  </si>
  <si>
    <t>منشآت نامية</t>
  </si>
  <si>
    <t>تموضع ورسائل وهوية وتطبيقات رئيسية</t>
  </si>
  <si>
    <t>مخصص</t>
  </si>
  <si>
    <t>شراكة علامة</t>
  </si>
  <si>
    <t>موقع + إطلاق</t>
  </si>
  <si>
    <t>هوية متكاملة</t>
  </si>
  <si>
    <t>بحث ميداني</t>
  </si>
  <si>
    <t>خريطة تموضع</t>
  </si>
  <si>
    <t>Case study</t>
  </si>
  <si>
    <t>نطاق استراتيجي مفتوح</t>
  </si>
  <si>
    <t>15-20 يوم</t>
  </si>
  <si>
    <t>منخفضة</t>
  </si>
  <si>
    <t>احجز جلسة اكتشاف</t>
  </si>
  <si>
    <t>تدقيق العلامة وإعادة التموضع</t>
  </si>
  <si>
    <t>تدقيق العلامة</t>
  </si>
  <si>
    <t>علامات قائمة</t>
  </si>
  <si>
    <t>تشخيص فجوات الهوية والرسائل والمنافسة</t>
  </si>
  <si>
    <t>إعادة تموضع 1990</t>
  </si>
  <si>
    <t>تقييم سريع 299</t>
  </si>
  <si>
    <t>جلسة استراتيجية</t>
  </si>
  <si>
    <t>Scorecard العلامة</t>
  </si>
  <si>
    <t>تقرير نموذجي</t>
  </si>
  <si>
    <t>بيانات تنافسية ناقصة</t>
  </si>
  <si>
    <t>4 أيام</t>
  </si>
  <si>
    <t>اطلب التدقيق</t>
  </si>
  <si>
    <t>تصميم منشور ثابت</t>
  </si>
  <si>
    <t>مشاريع/أفراد</t>
  </si>
  <si>
    <t>قطعة بصرية جاهزة للنشر</t>
  </si>
  <si>
    <t>باقة تصاميم</t>
  </si>
  <si>
    <t>كتابة منشور</t>
  </si>
  <si>
    <t>قالب جاهز 39</t>
  </si>
  <si>
    <t>مقاس إضافي</t>
  </si>
  <si>
    <t>نسخة Story</t>
  </si>
  <si>
    <t>محتوى غير جاهز</t>
  </si>
  <si>
    <t>اطلب التصميم</t>
  </si>
  <si>
    <t>تصميم بوستر</t>
  </si>
  <si>
    <t>تصميم بوستر طولي أو عرضي</t>
  </si>
  <si>
    <t>مشاريع/فعاليات</t>
  </si>
  <si>
    <t>بوستر جاهز للنشر أو الطباعة</t>
  </si>
  <si>
    <t>باقة حملة 299</t>
  </si>
  <si>
    <t>كتابة الإعلان</t>
  </si>
  <si>
    <t>تصميم منشور 59</t>
  </si>
  <si>
    <t>نسخة ويب</t>
  </si>
  <si>
    <t>نماذج</t>
  </si>
  <si>
    <t>طلبات طباعة خارجية</t>
  </si>
  <si>
    <t>صمّم البوستر</t>
  </si>
  <si>
    <t>تصميم قصة Story</t>
  </si>
  <si>
    <t>تصميم Story</t>
  </si>
  <si>
    <t>Story متناسقة مع الهوية</t>
  </si>
  <si>
    <t>باقة قصص</t>
  </si>
  <si>
    <t>منشور ثابت</t>
  </si>
  <si>
    <t>قالب 29</t>
  </si>
  <si>
    <t>نسخة متحركة</t>
  </si>
  <si>
    <t>ستكر CTA</t>
  </si>
  <si>
    <t>كثرة النص</t>
  </si>
  <si>
    <t>اطلب Story</t>
  </si>
  <si>
    <t>تصميم كاروسيل</t>
  </si>
  <si>
    <t>تصميم كاروسيل حتى 5 شرائح</t>
  </si>
  <si>
    <t>خبراء/مشاريع</t>
  </si>
  <si>
    <t>محتوى بصري متسلسل حتى 5 شرائح</t>
  </si>
  <si>
    <t>باقة 4 كاروسيل</t>
  </si>
  <si>
    <t>كتابة محتوى</t>
  </si>
  <si>
    <t>3 شرائح 99</t>
  </si>
  <si>
    <t>شريحة إضافية</t>
  </si>
  <si>
    <t>غلاف بديل</t>
  </si>
  <si>
    <t>زيادة الشرائح</t>
  </si>
  <si>
    <t>ابدأ الكاروسيل</t>
  </si>
  <si>
    <t>تصميم إنفوجرافيك</t>
  </si>
  <si>
    <t>جهات/خبراء</t>
  </si>
  <si>
    <t>تحويل معلومات إلى قصة بصرية</t>
  </si>
  <si>
    <t>تقرير بصري</t>
  </si>
  <si>
    <t>مقال/بحث</t>
  </si>
  <si>
    <t>إنفوجرافيك مختصر 149</t>
  </si>
  <si>
    <t>نسخة تفاعلية</t>
  </si>
  <si>
    <t>مقاس سوشال</t>
  </si>
  <si>
    <t>بيانات غير منظمة</t>
  </si>
  <si>
    <t>حوّل بياناتك</t>
  </si>
  <si>
    <t>بروشور أو فلاير</t>
  </si>
  <si>
    <t>تصميم بروشور أو فلاير</t>
  </si>
  <si>
    <t>منشآت</t>
  </si>
  <si>
    <t>ملف تسويقي قصير جاهز للطباعة</t>
  </si>
  <si>
    <t>كتابة المحتوى</t>
  </si>
  <si>
    <t>وجه واحد 149</t>
  </si>
  <si>
    <t>نسخة ثنائية</t>
  </si>
  <si>
    <t>نسخة رقمية</t>
  </si>
  <si>
    <t>تغييرات بعد اعتماد النص</t>
  </si>
  <si>
    <t>اطلب البروشور</t>
  </si>
  <si>
    <t>رول أب أو بانر كبير</t>
  </si>
  <si>
    <t>تصميم رول أب</t>
  </si>
  <si>
    <t>فعاليات/منشآت</t>
  </si>
  <si>
    <t>تصميم جاهز للطباعة بمقاس محدد</t>
  </si>
  <si>
    <t>باقة فعالية</t>
  </si>
  <si>
    <t>بوستر</t>
  </si>
  <si>
    <t>قالب بسيط 99</t>
  </si>
  <si>
    <t>QR مجاني</t>
  </si>
  <si>
    <t>دقة الأصول</t>
  </si>
  <si>
    <t>اطلب الرول أب</t>
  </si>
  <si>
    <t>كتالوج أو قائمة خدمات</t>
  </si>
  <si>
    <t>كتالوج خدمات حتى 12 صفحة</t>
  </si>
  <si>
    <t>كتالوج مرتب حتى 12 صفحة بمحتوى جاهز</t>
  </si>
  <si>
    <t>ملف تعريفي متكامل</t>
  </si>
  <si>
    <t>6 صفحات 590</t>
  </si>
  <si>
    <t>صفحات إضافية</t>
  </si>
  <si>
    <t>نسخة PDF تفاعلية</t>
  </si>
  <si>
    <t>تغير المحتوى بعد التصميم</t>
  </si>
  <si>
    <t>ابدأ الكتالوج</t>
  </si>
  <si>
    <t>كتابة منشور تسويقي</t>
  </si>
  <si>
    <t>مشاريع/خبراء</t>
  </si>
  <si>
    <t>نص قصير واضح بهدف واحد</t>
  </si>
  <si>
    <t>باقة 12 منشور</t>
  </si>
  <si>
    <t>تصميم منشور</t>
  </si>
  <si>
    <t>صياغة قصيرة 19</t>
  </si>
  <si>
    <t>نسخة ثانية</t>
  </si>
  <si>
    <t>3 Hooks</t>
  </si>
  <si>
    <t>Brief ضعيف</t>
  </si>
  <si>
    <t>اطلب النص</t>
  </si>
  <si>
    <t>باقة 12 منشورًا</t>
  </si>
  <si>
    <t>12 منشورًا تسويقيًا</t>
  </si>
  <si>
    <t>مشاريع</t>
  </si>
  <si>
    <t>حزمة شهرية من النصوص</t>
  </si>
  <si>
    <t>تقويم + تصميم</t>
  </si>
  <si>
    <t>إدارة منصة</t>
  </si>
  <si>
    <t>6 منشورات 169</t>
  </si>
  <si>
    <t>نسخ CTA</t>
  </si>
  <si>
    <t>بنك 20 Hook</t>
  </si>
  <si>
    <t>عينة</t>
  </si>
  <si>
    <t>تغير النبرة</t>
  </si>
  <si>
    <t>جهّز شهرك</t>
  </si>
  <si>
    <t>تقويم محتوى شهري</t>
  </si>
  <si>
    <t>20 فكرة ومحاور وأهداف وصيغ</t>
  </si>
  <si>
    <t>12 منشور</t>
  </si>
  <si>
    <t>تقويم 12 فكرة 299</t>
  </si>
  <si>
    <t>تحليل منافسين</t>
  </si>
  <si>
    <t>5 أفكار موسمية</t>
  </si>
  <si>
    <t>نموذج تقويم</t>
  </si>
  <si>
    <t>غياب أهداف واضحة</t>
  </si>
  <si>
    <t>3-4 أيام</t>
  </si>
  <si>
    <t>ابنِ تقويمك</t>
  </si>
  <si>
    <t>مقال SEO</t>
  </si>
  <si>
    <t>مقال SEO حتى 1500 كلمة</t>
  </si>
  <si>
    <t>مواقع/منشآت</t>
  </si>
  <si>
    <t>مقال بحثي مبسط قابل للفهرسة</t>
  </si>
  <si>
    <t>باقة SEO</t>
  </si>
  <si>
    <t>تدقيق SEO</t>
  </si>
  <si>
    <t>800 كلمة 169</t>
  </si>
  <si>
    <t>بحث كلمات موسع</t>
  </si>
  <si>
    <t>Meta description</t>
  </si>
  <si>
    <t>عينة منشورة</t>
  </si>
  <si>
    <t>موضوع تخصصي حساس</t>
  </si>
  <si>
    <t>اطلب المقال</t>
  </si>
  <si>
    <t>مقال تخصصي/قيادي</t>
  </si>
  <si>
    <t>مقال تخصصي أو قيادي</t>
  </si>
  <si>
    <t>خبراء/قيادات</t>
  </si>
  <si>
    <t>مقال يعكس خبرة وصوتًا قياديًا</t>
  </si>
  <si>
    <t>برنامج Thought Leadership</t>
  </si>
  <si>
    <t>LinkedIn</t>
  </si>
  <si>
    <t>مقال SEO 249</t>
  </si>
  <si>
    <t>مقابلة 30 دقيقة</t>
  </si>
  <si>
    <t>3 اقتباسات قصيرة</t>
  </si>
  <si>
    <t>الحاجة لمصدر خبير</t>
  </si>
  <si>
    <t>اكتب بصوتك</t>
  </si>
  <si>
    <t>كتابة صفحة موقع</t>
  </si>
  <si>
    <t>صفحة واضحة موجهة للتحويل</t>
  </si>
  <si>
    <t>كتابة موقع كامل</t>
  </si>
  <si>
    <t>SEO</t>
  </si>
  <si>
    <t>مراجعة نص 149</t>
  </si>
  <si>
    <t>Meta title</t>
  </si>
  <si>
    <t>اعتمادات متعددة</t>
  </si>
  <si>
    <t>اطلب الصفحة</t>
  </si>
  <si>
    <t>كتابة صفحة هبوط</t>
  </si>
  <si>
    <t>كتابة صفحة هبوط بيعية</t>
  </si>
  <si>
    <t>حملات/منشآت</t>
  </si>
  <si>
    <t>صفحة مقنعة من العرض إلى CTA</t>
  </si>
  <si>
    <t>تصميم صفحة هبوط</t>
  </si>
  <si>
    <t>حملة إعلانية</t>
  </si>
  <si>
    <t>نسخة مختصرة 299</t>
  </si>
  <si>
    <t>اختبار نسختين</t>
  </si>
  <si>
    <t>3 عناوين Hero</t>
  </si>
  <si>
    <t>عرض غير واضح</t>
  </si>
  <si>
    <t>ابنِ صفحتك</t>
  </si>
  <si>
    <t>حزمة نصوص حملة</t>
  </si>
  <si>
    <t>حزمة نصوص حملة إعلانية</t>
  </si>
  <si>
    <t>مشاريع/مسوقون</t>
  </si>
  <si>
    <t>10 نسخ متنوعة لحملة واحدة</t>
  </si>
  <si>
    <t>إدارة حملة</t>
  </si>
  <si>
    <t>تصميمات الحملة</t>
  </si>
  <si>
    <t>5 نسخ 249</t>
  </si>
  <si>
    <t>نسخ منصة إضافية</t>
  </si>
  <si>
    <t>مصفوفة Hooks</t>
  </si>
  <si>
    <t>تغيير العرض أثناء التنفيذ</t>
  </si>
  <si>
    <t>جهّز حملتك</t>
  </si>
  <si>
    <t>تصميم ملف تعريفي</t>
  </si>
  <si>
    <t>تصميم ملف تعريفي حتى 10 صفحات</t>
  </si>
  <si>
    <t>بروفايل منظم بمحتوى جاهز</t>
  </si>
  <si>
    <t>ملف متكامل 1490</t>
  </si>
  <si>
    <t>عرض مؤسسي</t>
  </si>
  <si>
    <t>5 صفحات 399</t>
  </si>
  <si>
    <t>المحتوى غير مكتمل</t>
  </si>
  <si>
    <t>5 أيام</t>
  </si>
  <si>
    <t>صمّم ملفك</t>
  </si>
  <si>
    <t>كتابة وتصميم حتى 12 صفحة</t>
  </si>
  <si>
    <t>موقع شركة</t>
  </si>
  <si>
    <t>تصميم فقط 690</t>
  </si>
  <si>
    <t>صفحة Case Study</t>
  </si>
  <si>
    <t>ابنِ بروفايلك</t>
  </si>
  <si>
    <t>إعادة تصميم عرض</t>
  </si>
  <si>
    <t>إعادة تصميم عرض حتى 10 شرائح</t>
  </si>
  <si>
    <t>أفراد/منشآت</t>
  </si>
  <si>
    <t>عرض أوضح بصريًا بالمحتوى الجاهز</t>
  </si>
  <si>
    <t>5 شرائح 349</t>
  </si>
  <si>
    <t>حركة بسيطة</t>
  </si>
  <si>
    <t>غلافان</t>
  </si>
  <si>
    <t>نصوص طويلة</t>
  </si>
  <si>
    <t>طوّر عرضك</t>
  </si>
  <si>
    <t>عرض مؤسسي متكامل</t>
  </si>
  <si>
    <t>كتابة وتصميم حتى 20 شريحة</t>
  </si>
  <si>
    <t>Pitch Deck</t>
  </si>
  <si>
    <t>Executive summary</t>
  </si>
  <si>
    <t>تغير القصة</t>
  </si>
  <si>
    <t>7 أيام</t>
  </si>
  <si>
    <t>ابدأ العرض</t>
  </si>
  <si>
    <t>عرض مستثمرين Pitch Deck</t>
  </si>
  <si>
    <t>شركات ناشئة</t>
  </si>
  <si>
    <t>قصة استثمارية حتى 15 شريحة</t>
  </si>
  <si>
    <t>استشارة تمويل</t>
  </si>
  <si>
    <t>نموذج مالي</t>
  </si>
  <si>
    <t>عرض مؤسسي 1290</t>
  </si>
  <si>
    <t>One-pager</t>
  </si>
  <si>
    <t>الادعاءات المالية غير المثبتة</t>
  </si>
  <si>
    <t>سرية</t>
  </si>
  <si>
    <t>ابنِ العرض</t>
  </si>
  <si>
    <t>تصميم تقرير سنوي</t>
  </si>
  <si>
    <t>تصميم تقرير سنوي حتى 20 صفحة</t>
  </si>
  <si>
    <t>جهات</t>
  </si>
  <si>
    <t>إخراج احترافي لمحتوى جاهز</t>
  </si>
  <si>
    <t>تقرير متكامل</t>
  </si>
  <si>
    <t>لوحة KPI</t>
  </si>
  <si>
    <t>10 صفحات 1190</t>
  </si>
  <si>
    <t>رسوم بيانات</t>
  </si>
  <si>
    <t>تأخر البيانات</t>
  </si>
  <si>
    <t>10 أيام</t>
  </si>
  <si>
    <t>صمّم التقرير</t>
  </si>
  <si>
    <t>تقرير سنوي متكامل</t>
  </si>
  <si>
    <t>تقرير سنوي متكامل حتى 30 صفحة</t>
  </si>
  <si>
    <t>صياغة وإخراج ورسوم أساسية</t>
  </si>
  <si>
    <t>تقارير دورية</t>
  </si>
  <si>
    <t>Dashboard</t>
  </si>
  <si>
    <t>تصميم فقط 1990</t>
  </si>
  <si>
    <t>ملخص تنفيذي</t>
  </si>
  <si>
    <t>بيانات غير موثقة</t>
  </si>
  <si>
    <t>12-15 يوم</t>
  </si>
  <si>
    <t>اطلب عرضًا</t>
  </si>
  <si>
    <t>عرض فني/وثيقة منافسة</t>
  </si>
  <si>
    <t>إعداد عرض فني</t>
  </si>
  <si>
    <t>منشآت B2B</t>
  </si>
  <si>
    <t>وثيقة مقنعة ومنظمة حتى 15 صفحة</t>
  </si>
  <si>
    <t>خدمة عروض شهرية</t>
  </si>
  <si>
    <t>قالب عرض 690</t>
  </si>
  <si>
    <t>مراجعة متطلبات RFP</t>
  </si>
  <si>
    <t>Checklist امتثال</t>
  </si>
  <si>
    <t>متطلبات قانونية/مالية</t>
  </si>
  <si>
    <t>أرسل المتطلبات</t>
  </si>
  <si>
    <t>تأسيس حساب منصة</t>
  </si>
  <si>
    <t>تأسيس وتحسين حساب منصة</t>
  </si>
  <si>
    <t>حساب مرتب وجاهز للانطلاق</t>
  </si>
  <si>
    <t>إدارة شهرية</t>
  </si>
  <si>
    <t>هوية منصات</t>
  </si>
  <si>
    <t>تدقيق حساب 149</t>
  </si>
  <si>
    <t>هايلايت إضافي</t>
  </si>
  <si>
    <t>Bio بديل</t>
  </si>
  <si>
    <t>بيانات دخول</t>
  </si>
  <si>
    <t>جهّز حسابك</t>
  </si>
  <si>
    <t>استراتيجية منصات ومحتوى</t>
  </si>
  <si>
    <t>استراتيجية منصات 90 يومًا</t>
  </si>
  <si>
    <t>قنوات ومحاور وجمهور وخطة واضحة</t>
  </si>
  <si>
    <t>إدارة منصات</t>
  </si>
  <si>
    <t>تقويم محتوى</t>
  </si>
  <si>
    <t>خطة 30 يوم 590</t>
  </si>
  <si>
    <t>Scorecard</t>
  </si>
  <si>
    <t>غياب بيانات أداء</t>
  </si>
  <si>
    <t>ابنِ استراتيجيتك</t>
  </si>
  <si>
    <t>إدارة منصة أساسية</t>
  </si>
  <si>
    <t>12 مادة + كتابة + جدولة + تقرير</t>
  </si>
  <si>
    <t>اشتراك</t>
  </si>
  <si>
    <t>إدارة منصتين 2490</t>
  </si>
  <si>
    <t>إعلانات</t>
  </si>
  <si>
    <t>محتوى فقط 790</t>
  </si>
  <si>
    <t>ردود تفاعل</t>
  </si>
  <si>
    <t>تقرير مبسط</t>
  </si>
  <si>
    <t>نماذج شهرية</t>
  </si>
  <si>
    <t>كثرة الاعتمادات</t>
  </si>
  <si>
    <t>شهري</t>
  </si>
  <si>
    <t>1/شهر</t>
  </si>
  <si>
    <t>ابدأ شهرًا</t>
  </si>
  <si>
    <t>إدارة منصتين قياسية</t>
  </si>
  <si>
    <t>منشآت صغيرة</t>
  </si>
  <si>
    <t>12 مادة + 4 ريلز + جدولة وتقرير</t>
  </si>
  <si>
    <t>نمو متكامل 3990</t>
  </si>
  <si>
    <t>منصة واحدة</t>
  </si>
  <si>
    <t>Community Mgmt</t>
  </si>
  <si>
    <t>اجتماع شهري</t>
  </si>
  <si>
    <t>Case Study</t>
  </si>
  <si>
    <t>إنتاج فيديو متسع</t>
  </si>
  <si>
    <t>إدارة نمو متكاملة</t>
  </si>
  <si>
    <t>3 منصات + محتوى + ريلز + تحليل</t>
  </si>
  <si>
    <t>فريق رقمي خارجي</t>
  </si>
  <si>
    <t>SEO/Ads</t>
  </si>
  <si>
    <t>منصتان 2490</t>
  </si>
  <si>
    <t>تصوير شهري</t>
  </si>
  <si>
    <t>توسع يومي بالتفاعل</t>
  </si>
  <si>
    <t>اطلب جلسة</t>
  </si>
  <si>
    <t>تأسيس حساب إعلاني وتتبع</t>
  </si>
  <si>
    <t>تأسيس الإعلانات والقياس</t>
  </si>
  <si>
    <t>متاجر/منشآت</t>
  </si>
  <si>
    <t>حساب وإشارات تتبع أساسية</t>
  </si>
  <si>
    <t>إدارة حملات</t>
  </si>
  <si>
    <t>صفحة هبوط</t>
  </si>
  <si>
    <t>إعداد منصة واحدة 490</t>
  </si>
  <si>
    <t>أحداث إضافية</t>
  </si>
  <si>
    <t>فحص تتبع</t>
  </si>
  <si>
    <t>Checklist</t>
  </si>
  <si>
    <t>صلاحيات المنصات</t>
  </si>
  <si>
    <t>جهّز القياس</t>
  </si>
  <si>
    <t>إدارة حملات مدفوعة</t>
  </si>
  <si>
    <t>إدارة وتحسين حملة واحدة</t>
  </si>
  <si>
    <t>إدارة نمو</t>
  </si>
  <si>
    <t>Landing Page</t>
  </si>
  <si>
    <t>تأسيس فقط 690</t>
  </si>
  <si>
    <t>منصة ثانية</t>
  </si>
  <si>
    <t>تقرير أسبوعي</t>
  </si>
  <si>
    <t>نتائج سابقة</t>
  </si>
  <si>
    <t>ميزانية الإعلان منفصلة</t>
  </si>
  <si>
    <t>ابدأ الحملة</t>
  </si>
  <si>
    <t>تدقيق SEO وخارطة 90 يومًا</t>
  </si>
  <si>
    <t>مواقع</t>
  </si>
  <si>
    <t>تشخيص تقني ومحتوى وكلمات وفرص</t>
  </si>
  <si>
    <t>SEO شهري</t>
  </si>
  <si>
    <t>مقالات SEO</t>
  </si>
  <si>
    <t>فحص مختصر 390</t>
  </si>
  <si>
    <t>بحث منافسين</t>
  </si>
  <si>
    <t>10 Quick Wins</t>
  </si>
  <si>
    <t>عينة تقرير</t>
  </si>
  <si>
    <t>الوصول التقني للموقع</t>
  </si>
  <si>
    <t>افحص موقعك</t>
  </si>
  <si>
    <t>مونتاج ريل</t>
  </si>
  <si>
    <t>مونتاج ريل من مواد العميل</t>
  </si>
  <si>
    <t>فيديو قصير حتى 30 ثانية</t>
  </si>
  <si>
    <t>باقة ريلز</t>
  </si>
  <si>
    <t>قص بسيط 99</t>
  </si>
  <si>
    <t>ترجمة/نسخ</t>
  </si>
  <si>
    <t>Thumbnail</t>
  </si>
  <si>
    <t>جودة المواد الأصلية</t>
  </si>
  <si>
    <t>أرسل المواد</t>
  </si>
  <si>
    <t>ريل إبداعي تقني</t>
  </si>
  <si>
    <t>إنتاج ريل إبداعي بتقنيات متقدمة</t>
  </si>
  <si>
    <t>ريل قصير يعتمد على إنتاج رقمي متقدم</t>
  </si>
  <si>
    <t>ريل متقدم 399</t>
  </si>
  <si>
    <t>حملة</t>
  </si>
  <si>
    <t>مونتاج عادي 149</t>
  </si>
  <si>
    <t>نسخة إضافية</t>
  </si>
  <si>
    <t>Hook بديل</t>
  </si>
  <si>
    <t>حقوق الأصول</t>
  </si>
  <si>
    <t>ابدأ الفكرة</t>
  </si>
  <si>
    <t>ريل احترافي متقدم</t>
  </si>
  <si>
    <t>علامات</t>
  </si>
  <si>
    <t>حتى 60 ثانية مع مؤثرات وحركة</t>
  </si>
  <si>
    <t>باقة 4 ريلز</t>
  </si>
  <si>
    <t>تصوير</t>
  </si>
  <si>
    <t>ريل 30ث 149</t>
  </si>
  <si>
    <t>نسخة عمودية/أفقية</t>
  </si>
  <si>
    <t>Cover مجاني</t>
  </si>
  <si>
    <t>تعديلات على الإيقاع</t>
  </si>
  <si>
    <t>طوّر الريل</t>
  </si>
  <si>
    <t>مونتاج بودكاست مرئي</t>
  </si>
  <si>
    <t>بودكاست/خبراء</t>
  </si>
  <si>
    <t>حلقة حتى 60 دقيقة بتنظيف ومقاطع</t>
  </si>
  <si>
    <t>إدارة بودكاست</t>
  </si>
  <si>
    <t>Shorts</t>
  </si>
  <si>
    <t>مونتاج أساسي 490</t>
  </si>
  <si>
    <t>3 مقاطع قصيرة</t>
  </si>
  <si>
    <t>Intro/Outro</t>
  </si>
  <si>
    <t>طول المواد الخام</t>
  </si>
  <si>
    <t>أرسل الحلقة</t>
  </si>
  <si>
    <t>تحريك الشعار</t>
  </si>
  <si>
    <t>تحريك شعار</t>
  </si>
  <si>
    <t>Motion قصير 5-7 ثوانٍ</t>
  </si>
  <si>
    <t>هوية فيديو</t>
  </si>
  <si>
    <t>فيديو تفسيري</t>
  </si>
  <si>
    <t>حركة بسيطة 290</t>
  </si>
  <si>
    <t>صوت</t>
  </si>
  <si>
    <t>نسخة شفافة</t>
  </si>
  <si>
    <t>تعقيد الشعار</t>
  </si>
  <si>
    <t>حرّك شعارك</t>
  </si>
  <si>
    <t>فيديو موشن تفسيري</t>
  </si>
  <si>
    <t>فيديو موشن تفسيري 60 ثانية</t>
  </si>
  <si>
    <t>شرح بصري قصير مع سيناريو وحركة</t>
  </si>
  <si>
    <t>سلسلة فيديو</t>
  </si>
  <si>
    <t>30 ثانية 1190</t>
  </si>
  <si>
    <t>تعليق صوتي</t>
  </si>
  <si>
    <t>Storyboard مختصر</t>
  </si>
  <si>
    <t>تعدد الشخصيات/المشاهد</t>
  </si>
  <si>
    <t>احجز الإنتاج</t>
  </si>
  <si>
    <t>تصوير منتجات</t>
  </si>
  <si>
    <t>تصوير منتجات - 10 منتجات</t>
  </si>
  <si>
    <t>متاجر</t>
  </si>
  <si>
    <t>صور تجارية أساسية للمتجر والمنصات</t>
  </si>
  <si>
    <t>إدارة متجر</t>
  </si>
  <si>
    <t>تصميم منتجات</t>
  </si>
  <si>
    <t>5 منتجات 890</t>
  </si>
  <si>
    <t>خلفيات خاصة</t>
  </si>
  <si>
    <t>صورة جماعية</t>
  </si>
  <si>
    <t>نقل المنتجات/الاستوديو</t>
  </si>
  <si>
    <t>3-5 أيام</t>
  </si>
  <si>
    <t>احجز التصوير</t>
  </si>
  <si>
    <t>نصف يوم تصوير محتوى</t>
  </si>
  <si>
    <t>حتى 4 ساعات وإنتاج 8 مقاطع قصيرة</t>
  </si>
  <si>
    <t>عقد تصوير شهري</t>
  </si>
  <si>
    <t>ساعتان 1490</t>
  </si>
  <si>
    <t>موقع إضافي</t>
  </si>
  <si>
    <t>صور ثابتة مختارة</t>
  </si>
  <si>
    <t>التصاريح والتنقل</t>
  </si>
  <si>
    <t>حسب الموعد</t>
  </si>
  <si>
    <t>احجز يومك</t>
  </si>
  <si>
    <t>حملات/خبراء</t>
  </si>
  <si>
    <t>صفحة واحدة متجاوبة ونموذج اتصال</t>
  </si>
  <si>
    <t>موقع مصغر</t>
  </si>
  <si>
    <t>كتابة الصفحة</t>
  </si>
  <si>
    <t>قالب Landing 990</t>
  </si>
  <si>
    <t>لغة ثانية</t>
  </si>
  <si>
    <t>إعداد Analytics</t>
  </si>
  <si>
    <t>المحتوى/الاستضافة</t>
  </si>
  <si>
    <t>أطلق صفحتك</t>
  </si>
  <si>
    <t>موقع مصغر حتى 5 صفحات</t>
  </si>
  <si>
    <t>موقع تعريفي سريع ومتجاوب</t>
  </si>
  <si>
    <t>موقع شركة 3990</t>
  </si>
  <si>
    <t>Landing 1490</t>
  </si>
  <si>
    <t>فيديو تسليم</t>
  </si>
  <si>
    <t>توسع الصفحات</t>
  </si>
  <si>
    <t>ابنِ موقعك</t>
  </si>
  <si>
    <t>موقع شركة احترافي</t>
  </si>
  <si>
    <t>موقع شركة احترافي حتى 10 صفحات</t>
  </si>
  <si>
    <t>موقع مؤسسي متجاوب مع SEO أساسي</t>
  </si>
  <si>
    <t>صيانة + SEO</t>
  </si>
  <si>
    <t>موقع 5 صفحات 2490</t>
  </si>
  <si>
    <t>تدريب إدارة</t>
  </si>
  <si>
    <t>التكاملات المخصصة</t>
  </si>
  <si>
    <t>اطلب المشروع</t>
  </si>
  <si>
    <t>تأسيس متجر سلة/زد</t>
  </si>
  <si>
    <t>تأسيس متجر سلة أو زد</t>
  </si>
  <si>
    <t>إعداد وتشغيل المتجر حتى 20 منتجًا</t>
  </si>
  <si>
    <t>إعداد أساسي 1490</t>
  </si>
  <si>
    <t>منتجات إضافية</t>
  </si>
  <si>
    <t>Checklist إطلاق</t>
  </si>
  <si>
    <t>الاشتراكات والبوابات</t>
  </si>
  <si>
    <t>أطلق متجرك</t>
  </si>
  <si>
    <t>متجر إلكتروني متقدم</t>
  </si>
  <si>
    <t>متاجر نامية</t>
  </si>
  <si>
    <t>تخصيص أوسع حتى 50 منتجًا</t>
  </si>
  <si>
    <t>متجر أساسي 2490</t>
  </si>
  <si>
    <t>تكاملات</t>
  </si>
  <si>
    <t>جلسة إطلاق</t>
  </si>
  <si>
    <t>تخصيصات خارج المنصة</t>
  </si>
  <si>
    <t>احجز اكتشاف</t>
  </si>
  <si>
    <t>إدخال وتحسين المنتجات</t>
  </si>
  <si>
    <t>إدخال وتحسين 50 منتجًا</t>
  </si>
  <si>
    <t>وصف وتصنيف وSEO أساسي</t>
  </si>
  <si>
    <t>25 منتج 390</t>
  </si>
  <si>
    <t>صور محسنة</t>
  </si>
  <si>
    <t>قالب وصف</t>
  </si>
  <si>
    <t>بيانات المنتجات غير مكتملة</t>
  </si>
  <si>
    <t>جهّز منتجاتك</t>
  </si>
  <si>
    <t>تأسيس منظومة القياس</t>
  </si>
  <si>
    <t>تأسيس قياس الموقع</t>
  </si>
  <si>
    <t>مواقع/متاجر</t>
  </si>
  <si>
    <t>GA4 وSearch Console وPixel أساسي</t>
  </si>
  <si>
    <t>تقارير شهرية</t>
  </si>
  <si>
    <t>GA4 فقط 290</t>
  </si>
  <si>
    <t>فحص مجاني</t>
  </si>
  <si>
    <t>الوصول للحسابات</t>
  </si>
  <si>
    <t>فعّل القياس</t>
  </si>
  <si>
    <t>صيانة موقع شهرية</t>
  </si>
  <si>
    <t>تحديثات ونسخ ومراقبة وإصلاحات محدودة</t>
  </si>
  <si>
    <t>تحسين سرعة</t>
  </si>
  <si>
    <t>مراقبة فقط 249</t>
  </si>
  <si>
    <t>ساعات دعم</t>
  </si>
  <si>
    <t>تقرير صحة</t>
  </si>
  <si>
    <t>سجل صيانة</t>
  </si>
  <si>
    <t>طلبات تطوير داخل الصيانة</t>
  </si>
  <si>
    <t>-</t>
  </si>
  <si>
    <t>فعّل الصيانة</t>
  </si>
  <si>
    <t>تدقيق عمليات وأتمتة</t>
  </si>
  <si>
    <t>تدقيق فرص الأتمتة</t>
  </si>
  <si>
    <t>خريطة عمليات وفرص تحسين مرتبة</t>
  </si>
  <si>
    <t>أتمتة بسيطة</t>
  </si>
  <si>
    <t>CRM</t>
  </si>
  <si>
    <t>جلسة 60د 390</t>
  </si>
  <si>
    <t>خريطة مفصلة</t>
  </si>
  <si>
    <t>3 Quick Wins</t>
  </si>
  <si>
    <t>عينة خريطة</t>
  </si>
  <si>
    <t>بيانات عملية ناقصة</t>
  </si>
  <si>
    <t>افحص عملياتك</t>
  </si>
  <si>
    <t>تدفق واحد بين تطبيقين/ثلاثة</t>
  </si>
  <si>
    <t>أتمتة قياسية</t>
  </si>
  <si>
    <t>صيانة</t>
  </si>
  <si>
    <t>استشارة فقط 390</t>
  </si>
  <si>
    <t>خطوة إضافية</t>
  </si>
  <si>
    <t>توثيق فيديو</t>
  </si>
  <si>
    <t>Demo</t>
  </si>
  <si>
    <t>تغييرات API</t>
  </si>
  <si>
    <t>أتمت المهمة</t>
  </si>
  <si>
    <t>عدة خطوات وربط 3 تطبيقات</t>
  </si>
  <si>
    <t>أتمتة قسم</t>
  </si>
  <si>
    <t>تدفق بسيط 990</t>
  </si>
  <si>
    <t>تكامل إضافي</t>
  </si>
  <si>
    <t>لوحة مراقبة بسيطة</t>
  </si>
  <si>
    <t>واجهات غير مستقرة</t>
  </si>
  <si>
    <t>اربط أنظمتك</t>
  </si>
  <si>
    <t>أتمتة إدارة/قسم</t>
  </si>
  <si>
    <t>أتمتة إدارة أو قسم</t>
  </si>
  <si>
    <t>عدة تدفقات وصلاحيات وتنبيهات</t>
  </si>
  <si>
    <t>عقد دعم</t>
  </si>
  <si>
    <t>AI Agent</t>
  </si>
  <si>
    <t>بيئة اختبار</t>
  </si>
  <si>
    <t>تدريب فريق</t>
  </si>
  <si>
    <t>نطاق غير موثق</t>
  </si>
  <si>
    <t>احجز تشخيصًا</t>
  </si>
  <si>
    <t>تأسيس CRM</t>
  </si>
  <si>
    <t>تأسيس نظام CRM</t>
  </si>
  <si>
    <t>مراحل وحقول وتقارير حتى 5 مستخدمين</t>
  </si>
  <si>
    <t>متابعة العملاء</t>
  </si>
  <si>
    <t>أتمتة</t>
  </si>
  <si>
    <t>CRM Lite 990</t>
  </si>
  <si>
    <t>ترحيل بيانات</t>
  </si>
  <si>
    <t>فيديو استخدام</t>
  </si>
  <si>
    <t>جودة البيانات</t>
  </si>
  <si>
    <t>نظّم عملاءك</t>
  </si>
  <si>
    <t>منظومة العملاء المحتملين</t>
  </si>
  <si>
    <t>منظومة استقبال ومتابعة الفرص</t>
  </si>
  <si>
    <t>نماذج + CRM + إشعارات ومتابعة</t>
  </si>
  <si>
    <t>وكيل واتساب</t>
  </si>
  <si>
    <t>CRM فقط 1490</t>
  </si>
  <si>
    <t>تسلسل متابعة</t>
  </si>
  <si>
    <t>Dashboard بسيط</t>
  </si>
  <si>
    <t>تكامل WhatsApp</t>
  </si>
  <si>
    <t>ابنِ المسار</t>
  </si>
  <si>
    <t>روبوت معرفة للموقع</t>
  </si>
  <si>
    <t>مساعد معرفة للموقع</t>
  </si>
  <si>
    <t>مساعد يجيب من مصادر محددة</t>
  </si>
  <si>
    <t>وكيل متعدد القنوات</t>
  </si>
  <si>
    <t>قاعدة معرفة</t>
  </si>
  <si>
    <t>FAQ متقدم 1490</t>
  </si>
  <si>
    <t>مصادر إضافية</t>
  </si>
  <si>
    <t>تقرير أسئلة</t>
  </si>
  <si>
    <t>هلوسة/خصوصية البيانات</t>
  </si>
  <si>
    <t>أطلق المساعد</t>
  </si>
  <si>
    <t>وكيل واتساب ذكي MVP</t>
  </si>
  <si>
    <t>وكيل واتساب ذكي - MVP</t>
  </si>
  <si>
    <t>تأهيل أسئلة وحجز وربط CRM</t>
  </si>
  <si>
    <t>دعم شهري</t>
  </si>
  <si>
    <t>CRM/Ads</t>
  </si>
  <si>
    <t>FAQ واتساب 2490</t>
  </si>
  <si>
    <t>قناة إضافية</t>
  </si>
  <si>
    <t>تكلفة الرسائل والامتثال</t>
  </si>
  <si>
    <t>12-18 يوم</t>
  </si>
  <si>
    <t>احجز جلسة</t>
  </si>
  <si>
    <t>تحليل منافسين سريع</t>
  </si>
  <si>
    <t>مقارنة حتى 5 منافسين وفرص واضحة</t>
  </si>
  <si>
    <t>مسح سوق</t>
  </si>
  <si>
    <t>استراتيجية</t>
  </si>
  <si>
    <t>3 منافسين 290</t>
  </si>
  <si>
    <t>منصة إضافية</t>
  </si>
  <si>
    <t>مصفوفة فرص</t>
  </si>
  <si>
    <t>بيانات عامة فقط</t>
  </si>
  <si>
    <t>حلل منافسيك</t>
  </si>
  <si>
    <t>مسح سوق مكتبي</t>
  </si>
  <si>
    <t>اتجاهات وشرائح ومنافسون وفرص</t>
  </si>
  <si>
    <t>دراسة أعمق</t>
  </si>
  <si>
    <t>خطة تسويق</t>
  </si>
  <si>
    <t>تحليل منافسين 490</t>
  </si>
  <si>
    <t>قطاع إضافي</t>
  </si>
  <si>
    <t>صفحة فرص</t>
  </si>
  <si>
    <t>نقص بيانات موثوقة</t>
  </si>
  <si>
    <t>افهم السوق</t>
  </si>
  <si>
    <t>شخصيات العملاء وعرض القيمة</t>
  </si>
  <si>
    <t>حتى 3 شخصيات مع Jobs/Pains/Gains</t>
  </si>
  <si>
    <t>استراتيجية تسويق</t>
  </si>
  <si>
    <t>Content Strategy</t>
  </si>
  <si>
    <t>شخصية واحدة 390</t>
  </si>
  <si>
    <t>مقابلات</t>
  </si>
  <si>
    <t>رسالة قيمة جاهزة</t>
  </si>
  <si>
    <t>الاعتماد على افتراضات</t>
  </si>
  <si>
    <t>اعرف عميلك</t>
  </si>
  <si>
    <t>تصميم استبانة</t>
  </si>
  <si>
    <t>تصميم استبانة حتى 25 سؤالًا</t>
  </si>
  <si>
    <t>جهات/باحثون</t>
  </si>
  <si>
    <t>استبانة واضحة قابلة للتحليل</t>
  </si>
  <si>
    <t>تحليل نتائج</t>
  </si>
  <si>
    <t>تقرير</t>
  </si>
  <si>
    <t>15 سؤال 249</t>
  </si>
  <si>
    <t>منطق تفرعي</t>
  </si>
  <si>
    <t>قالب Google Form</t>
  </si>
  <si>
    <t>أسئلة منحازة</t>
  </si>
  <si>
    <t>صمّم الاستبانة</t>
  </si>
  <si>
    <t>تحليل نتائج استبانة</t>
  </si>
  <si>
    <t>تحليل وصفي حتى 500 استجابة</t>
  </si>
  <si>
    <t>تقرير تنفيذي</t>
  </si>
  <si>
    <t>تحليل مختصر 490</t>
  </si>
  <si>
    <t>تقاطع إضافي</t>
  </si>
  <si>
    <t>حلل النتائج</t>
  </si>
  <si>
    <t>لوحة مؤشرات KPI</t>
  </si>
  <si>
    <t>Dashboard أساسي في Sheets/Looker</t>
  </si>
  <si>
    <t>أتمتة بيانات</t>
  </si>
  <si>
    <t>Dashboard Lite 890</t>
  </si>
  <si>
    <t>مصدر بيانات إضافي</t>
  </si>
  <si>
    <t>فيديو شرح</t>
  </si>
  <si>
    <t>ربط البيانات</t>
  </si>
  <si>
    <t>راقب الأداء</t>
  </si>
  <si>
    <t>خطة تسويقية 90 يومًا</t>
  </si>
  <si>
    <t>قنوات ورسائل وحملات وKPIs</t>
  </si>
  <si>
    <t>إدارة تسويق</t>
  </si>
  <si>
    <t>محتوى/Ads</t>
  </si>
  <si>
    <t>خطة 30 يوم 990</t>
  </si>
  <si>
    <t>جلسة تنفيذ</t>
  </si>
  <si>
    <t>Calendar نموذجي</t>
  </si>
  <si>
    <t>غياب ميزانية واضحة</t>
  </si>
  <si>
    <t>ابنِ خطتك</t>
  </si>
  <si>
    <t>خطة استراتيجية/تشغيلية</t>
  </si>
  <si>
    <t>خطة استراتيجية أو تشغيلية</t>
  </si>
  <si>
    <t>جهات/منشآت</t>
  </si>
  <si>
    <t>أهداف ومبادرات وKPIs حتى 12 شهرًا</t>
  </si>
  <si>
    <t>متابعة ربع سنوية</t>
  </si>
  <si>
    <t>خارطة طريق 1990</t>
  </si>
  <si>
    <t>ورش إضافية</t>
  </si>
  <si>
    <t>Executive one-page</t>
  </si>
  <si>
    <t>اعتماد القيادة</t>
  </si>
  <si>
    <t>احجز ورشة</t>
  </si>
  <si>
    <t>حقيبة تدريبية جاهزة</t>
  </si>
  <si>
    <t>مدربون</t>
  </si>
  <si>
    <t>محتوى جاهز للاستخدام وفق الترخيص</t>
  </si>
  <si>
    <t>تخصيص حقيبة</t>
  </si>
  <si>
    <t>عرض تقديمي</t>
  </si>
  <si>
    <t>مادة مختصرة 199</t>
  </si>
  <si>
    <t>هوية المدرب</t>
  </si>
  <si>
    <t>Checklist تنفيذ</t>
  </si>
  <si>
    <t>معاينة</t>
  </si>
  <si>
    <t>حقوق الاستخدام</t>
  </si>
  <si>
    <t>فوري-1 يوم</t>
  </si>
  <si>
    <t>0</t>
  </si>
  <si>
    <t>اختر الحقيبة</t>
  </si>
  <si>
    <t>تخصيص حقيبة جاهزة</t>
  </si>
  <si>
    <t>مدربون/جهات</t>
  </si>
  <si>
    <t>تكييف المحتوى والهوية والأمثلة</t>
  </si>
  <si>
    <t>حقيبة مخصصة</t>
  </si>
  <si>
    <t>تصميم عرض</t>
  </si>
  <si>
    <t>حقيبة جاهزة 299</t>
  </si>
  <si>
    <t>أنشطة إضافية</t>
  </si>
  <si>
    <t>صفحة أهداف</t>
  </si>
  <si>
    <t>طلب إعادة بناء كاملة</t>
  </si>
  <si>
    <t>خصص حقيبتك</t>
  </si>
  <si>
    <t>ورشة ساعتين</t>
  </si>
  <si>
    <t>تصميم ورشة تدريبية ساعتين</t>
  </si>
  <si>
    <t>أهداف + محتوى + عرض + نشاط + تقييم</t>
  </si>
  <si>
    <t>حقيبة 3 ساعات</t>
  </si>
  <si>
    <t>تقديم التدريب</t>
  </si>
  <si>
    <t>تخصيص جاهزة 990</t>
  </si>
  <si>
    <t>هوية مخصصة</t>
  </si>
  <si>
    <t>Facilitator checklist</t>
  </si>
  <si>
    <t>الموضوعات التخصصية</t>
  </si>
  <si>
    <t>ابنِ الورشة</t>
  </si>
  <si>
    <t>حقيبة تدريبية مخصصة 3 ساعات</t>
  </si>
  <si>
    <t>عرض + أدلة مختصرة + أنشطة + تقييم</t>
  </si>
  <si>
    <t>حقيبة يوم</t>
  </si>
  <si>
    <t>SCORM</t>
  </si>
  <si>
    <t>دليل موسع</t>
  </si>
  <si>
    <t>نشاط إضافي</t>
  </si>
  <si>
    <t>التوسع في الصفحات</t>
  </si>
  <si>
    <t>8-10 أيام</t>
  </si>
  <si>
    <t>اطلب الحقيبة</t>
  </si>
  <si>
    <t>حقيبة يوم تدريبي</t>
  </si>
  <si>
    <t>حقيبة تدريبية متكاملة ليوم</t>
  </si>
  <si>
    <t>جهات/مدربون</t>
  </si>
  <si>
    <t>مدرب + متدرب + عرض + أنشطة + تقييم</t>
  </si>
  <si>
    <t>حقيبة يومين</t>
  </si>
  <si>
    <t>3 ساعات 2990</t>
  </si>
  <si>
    <t>بحث متخصص</t>
  </si>
  <si>
    <t>قالب تقييم أثر</t>
  </si>
  <si>
    <t>نقل ملكية موسع</t>
  </si>
  <si>
    <t>10-12 يوم</t>
  </si>
  <si>
    <t>ابدأ التطوير</t>
  </si>
  <si>
    <t>حقيبة تدريبية متكاملة ليومين</t>
  </si>
  <si>
    <t>محتوى موسع ليومين ضمن نطاق واضح</t>
  </si>
  <si>
    <t>برنامج تدريبي</t>
  </si>
  <si>
    <t>حقيبة يوم 3990</t>
  </si>
  <si>
    <t>ملاحق موسعة</t>
  </si>
  <si>
    <t>خارطة تنفيذ</t>
  </si>
  <si>
    <t>صفحات غير محدودة</t>
  </si>
  <si>
    <t>احجز المشروع</t>
  </si>
  <si>
    <t>دليل إجراءات وتشغيل</t>
  </si>
  <si>
    <t>حتى 40 صفحة من الإجراءات والقوالب</t>
  </si>
  <si>
    <t>حوكمة تشغيل</t>
  </si>
  <si>
    <t>Automation</t>
  </si>
  <si>
    <t>دليل مختصر 990</t>
  </si>
  <si>
    <t>نماذج إضافية</t>
  </si>
  <si>
    <t>Checklist تدقيق</t>
  </si>
  <si>
    <t>الحاجة لمقابلات كثيرة</t>
  </si>
  <si>
    <t>نظّم إجراءاتك</t>
  </si>
  <si>
    <t>وحدة تعليم إلكتروني SCORM</t>
  </si>
  <si>
    <t>جهات تدريب</t>
  </si>
  <si>
    <t>وحدة 30-45 دقيقة تفاعلية</t>
  </si>
  <si>
    <t>سلسلة وحدات</t>
  </si>
  <si>
    <t>LMS setup</t>
  </si>
  <si>
    <t>عرض تفاعلي 1490</t>
  </si>
  <si>
    <t>اختبار قصير</t>
  </si>
  <si>
    <t>تراخيص وأصول</t>
  </si>
  <si>
    <t>حوّل المحتوى</t>
  </si>
  <si>
    <t>بيان صحفي</t>
  </si>
  <si>
    <t>كتابة بيان صحفي</t>
  </si>
  <si>
    <t>منشآت/جهات</t>
  </si>
  <si>
    <t>بيان مهني حتى 700 كلمة</t>
  </si>
  <si>
    <t>حقيبة إعلامية</t>
  </si>
  <si>
    <t>توزيع إعلامي</t>
  </si>
  <si>
    <t>خبر قصير 149</t>
  </si>
  <si>
    <t>3 عناوين</t>
  </si>
  <si>
    <t>ادعاءات تحتاج تحقق</t>
  </si>
  <si>
    <t>اكتب البيان</t>
  </si>
  <si>
    <t>حقيبة إعلامية Media Kit</t>
  </si>
  <si>
    <t>نبذة ورسائل وأسئلة وأجوبة وأصول رئيسية</t>
  </si>
  <si>
    <t>علاقات عامة شهرية</t>
  </si>
  <si>
    <t>بيان فقط 249</t>
  </si>
  <si>
    <t>Fact Sheet</t>
  </si>
  <si>
    <t>الأصول غير جاهزة</t>
  </si>
  <si>
    <t>جهّز حقيبتك</t>
  </si>
  <si>
    <t>فكرة إبداعية لحملة</t>
  </si>
  <si>
    <t>علامات/جهات</t>
  </si>
  <si>
    <t>مفهوم ورسالة وهاشتاق واتجاه</t>
  </si>
  <si>
    <t>خطة حملة</t>
  </si>
  <si>
    <t>هوية حملة</t>
  </si>
  <si>
    <t>3 أفكار 590</t>
  </si>
  <si>
    <t>Key Visual</t>
  </si>
  <si>
    <t>3 Headlines</t>
  </si>
  <si>
    <t>الاعتماد الذوقي</t>
  </si>
  <si>
    <t>اصنع الفكرة</t>
  </si>
  <si>
    <t>خطة حملة 30 يومًا</t>
  </si>
  <si>
    <t>جمهور وقنوات ومحتوى وجدول وKPIs</t>
  </si>
  <si>
    <t>تنفيذ الحملة</t>
  </si>
  <si>
    <t>خطة 14 يوم 990</t>
  </si>
  <si>
    <t>خطة محتوى تفصيلية</t>
  </si>
  <si>
    <t>Launch checklist</t>
  </si>
  <si>
    <t>تغير الميزانية</t>
  </si>
  <si>
    <t>خطط حملتك</t>
  </si>
  <si>
    <t>هوية بصرية لحملة</t>
  </si>
  <si>
    <t>جهات/فعاليات</t>
  </si>
  <si>
    <t>شعار حملة ونظام بصري و5 تطبيقات</t>
  </si>
  <si>
    <t>باقة إطلاق</t>
  </si>
  <si>
    <t>تصميمات إضافية</t>
  </si>
  <si>
    <t>Key Visual فقط 790</t>
  </si>
  <si>
    <t>Motion</t>
  </si>
  <si>
    <t>قالب سوشال</t>
  </si>
  <si>
    <t>توسع التطبيقات</t>
  </si>
  <si>
    <t>ابنِ هوية الحملة</t>
  </si>
  <si>
    <t>باقة إطلاق مشروع/منتج</t>
  </si>
  <si>
    <t>باقة إطلاق مشروع أو منتج</t>
  </si>
  <si>
    <t>استراتيجية ورسائل و12 مادة ونص صفحة</t>
  </si>
  <si>
    <t>إدارة 3 أشهر</t>
  </si>
  <si>
    <t>Ads/PR</t>
  </si>
  <si>
    <t>خطة إطلاق 1990</t>
  </si>
  <si>
    <t>Launch dashboard</t>
  </si>
  <si>
    <t>اعتمادات كثيرة</t>
  </si>
  <si>
    <t>أطلق بثقة</t>
  </si>
  <si>
    <t>باقة مواد فعالية</t>
  </si>
  <si>
    <t>هوية ودعوة وأجندة وشاشات و10 مواد</t>
  </si>
  <si>
    <t>تغطية فعالية</t>
  </si>
  <si>
    <t>تصوير/PR</t>
  </si>
  <si>
    <t>هوية فعالية 1490</t>
  </si>
  <si>
    <t>مواد إضافية</t>
  </si>
  <si>
    <t>QR حضور</t>
  </si>
  <si>
    <t>الطباعة ليست مشمولة</t>
  </si>
  <si>
    <t>جهّز فعاليتك</t>
  </si>
  <si>
    <t>خطة اتصال وإدارة أزمة</t>
  </si>
  <si>
    <t>سيناريوهات وأدوار ورسائل واستجابة وتصعيد</t>
  </si>
  <si>
    <t>Retainer اتصال</t>
  </si>
  <si>
    <t>Media Training</t>
  </si>
  <si>
    <t>خطة مختصرة 2490</t>
  </si>
  <si>
    <t>محاكاة أزمة</t>
  </si>
  <si>
    <t>قالب غرفة أزمة</t>
  </si>
  <si>
    <t>حساسية قانونية/سمعة</t>
  </si>
  <si>
    <t>افتراضات نموذج FARIS 360 - قابلة للتعديل</t>
  </si>
  <si>
    <t>البند</t>
  </si>
  <si>
    <t>القيمة</t>
  </si>
  <si>
    <t>الوحدة</t>
  </si>
  <si>
    <t>ملاحظة</t>
  </si>
  <si>
    <t>سعر ساعة إشراف فارس</t>
  </si>
  <si>
    <t>ر.س/ساعة</t>
  </si>
  <si>
    <t>تكلفة فرصة داخلية، ليست راتبًا بالضرورة</t>
  </si>
  <si>
    <t>رسوم التحصيل الإلكتروني</t>
  </si>
  <si>
    <t>% من السعر</t>
  </si>
  <si>
    <t>تقدير تشغيلي قابل للتغيير</t>
  </si>
  <si>
    <t>عمولة الشريك/المسوق</t>
  </si>
  <si>
    <t>تطبق عند وجود إحالة</t>
  </si>
  <si>
    <t>هامش الأمان المستهدف بعد العمولة</t>
  </si>
  <si>
    <t>%</t>
  </si>
  <si>
    <t>الحد الأدنى المستهدف للخدمات القياسية</t>
  </si>
  <si>
    <t>احتياطي جودة/إعادة عمل</t>
  </si>
  <si>
    <t>% من التكلفة الأساسية</t>
  </si>
  <si>
    <t>للتعديلات الصغيرة وإعادة العمل</t>
  </si>
  <si>
    <t>ضريبة القيمة المضافة</t>
  </si>
  <si>
    <t>لا تدخل في الربح التشغيلي؛ تضاف عند انطباقها</t>
  </si>
  <si>
    <t>منهجية FARIS 360 لاعتماد كل خدمة</t>
  </si>
  <si>
    <t>البوابة</t>
  </si>
  <si>
    <t>العقول/الفرق</t>
  </si>
  <si>
    <t>السؤال الحاسم</t>
  </si>
  <si>
    <t>المخرج</t>
  </si>
  <si>
    <t>حالة الاعتماد</t>
  </si>
  <si>
    <t>ملاحظات</t>
  </si>
  <si>
    <t>بوابة العميل</t>
  </si>
  <si>
    <t>الاقتصاد السلوكي، الصياغة الإقناعية، B2B، UX Diagnostics، Social Proof</t>
  </si>
  <si>
    <t>هل يفهم العميل العرض؟ هل السعر مريح؟ ما الاعتراض؟ وما الإثبات؟</t>
  </si>
  <si>
    <t>قرار موحد</t>
  </si>
  <si>
    <t>إلزامي</t>
  </si>
  <si>
    <t>يطبق على جميع الخدمات الـ96</t>
  </si>
  <si>
    <t>بوابة النمو</t>
  </si>
  <si>
    <t>Growth Engineering، Value Ladder، LTV Retainers، Retargeting، Affiliate Engine</t>
  </si>
  <si>
    <t>ما الخدمة التالية؟ كيف نزيد قيمة العميل دون إزعاج؟</t>
  </si>
  <si>
    <t>بوابة التشغيل</t>
  </si>
  <si>
    <t>الجودة، SLA، Scope، Prompt Engineering، Micro-Delight</t>
  </si>
  <si>
    <t>هل يمكن تنفيذ الخدمة بسرعة وبنطاق منضبط وبجودة متكررة؟</t>
  </si>
  <si>
    <t>بوابة المالية</t>
  </si>
  <si>
    <t>Value-Based Pricing، الهندسة العكسية، القبعة البيضاء والمنطقية</t>
  </si>
  <si>
    <t>ما التكلفة؟ الأرضية؟ سعر الكتالوج؟ والسعر القائم على القيمة؟</t>
  </si>
  <si>
    <t>بوابة المخاطر</t>
  </si>
  <si>
    <t>القبعة السوداء، Risk Reversal، PDPL، حوكمة البيانات</t>
  </si>
  <si>
    <t>ما الذي يمكن أن يفشل؟ وكيف نخفف الخطر دون وعود غير واقعية؟</t>
  </si>
  <si>
    <t>بوابة الاستراتيجية</t>
  </si>
  <si>
    <t>القبعة الزرقاء + الذكاء الوجودي والذاتي</t>
  </si>
  <si>
    <t>هل هذه الخدمة تبني وكالة فارس أم تستهلك وقتها؟</t>
  </si>
  <si>
    <t>القبعات الست</t>
  </si>
  <si>
    <t>البيضاء</t>
  </si>
  <si>
    <t>حقائق، أسعار، تكلفة، بيانات</t>
  </si>
  <si>
    <t>الحمراء</t>
  </si>
  <si>
    <t>الشعور والانطباع النفسي للعميل</t>
  </si>
  <si>
    <t>السوداء</t>
  </si>
  <si>
    <t>مخاطر وثغرات وحدود</t>
  </si>
  <si>
    <t>الصفراء</t>
  </si>
  <si>
    <t>فرص ومزايا وإمكانات</t>
  </si>
  <si>
    <t>الخضراء</t>
  </si>
  <si>
    <t>ابتكار نماذج وحزم جديدة</t>
  </si>
  <si>
    <t>الزرقاء</t>
  </si>
  <si>
    <t>الحسم والضبط والاعتماد</t>
  </si>
  <si>
    <t>الذكاءات المستخدمة كعدسات تطوير</t>
  </si>
  <si>
    <t>اللغوي</t>
  </si>
  <si>
    <t>زاوية مراجعة مساندة، وليست اختبارًا نفسيًا أو تشخيصًا لقدرات الأفراد.</t>
  </si>
  <si>
    <t>المنطقي/الرياضي</t>
  </si>
  <si>
    <t>البصري/المكاني</t>
  </si>
  <si>
    <t>الاجتماعي</t>
  </si>
  <si>
    <t>الذاتي</t>
  </si>
  <si>
    <t>الصوتي</t>
  </si>
  <si>
    <t>الحركي</t>
  </si>
  <si>
    <t>البيئي</t>
  </si>
  <si>
    <t>العاطفي</t>
  </si>
  <si>
    <t>الوجودي/الاستراتيجي</t>
  </si>
  <si>
    <t>الرقمي والاصطناعي</t>
  </si>
  <si>
    <t>سلم القيمة المقترح لوكالة فارس الرقمية</t>
  </si>
  <si>
    <t>المستوى</t>
  </si>
  <si>
    <t>النطاق السعري</t>
  </si>
  <si>
    <t>الهدف التجاري</t>
  </si>
  <si>
    <t>مؤشر النجاح</t>
  </si>
  <si>
    <t>قاعدة</t>
  </si>
  <si>
    <t>مجاني/تجربة</t>
  </si>
  <si>
    <t>اختبار/تدقيق مصغر/عينة</t>
  </si>
  <si>
    <t>إثبات الكفاءة وجمع Lead</t>
  </si>
  <si>
    <t>التحويل للمستوى التالي</t>
  </si>
  <si>
    <t>وضوح النطاق قبل البيع</t>
  </si>
  <si>
    <t>29-99</t>
  </si>
  <si>
    <t>CV، تصميم بسيط، كتابة قصيرة</t>
  </si>
  <si>
    <t>خفض حاجز الشراء</t>
  </si>
  <si>
    <t>149-690</t>
  </si>
  <si>
    <t>كاروسيل، تدقيق، بروشور، مونتاج</t>
  </si>
  <si>
    <t>بناء الثقة</t>
  </si>
  <si>
    <t>690-1,490</t>
  </si>
  <si>
    <t>ملف، حسابات، CRM، تصميمات أوسع</t>
  </si>
  <si>
    <t>حل واضح سريع</t>
  </si>
  <si>
    <t>احترافي</t>
  </si>
  <si>
    <t>1,490-2,990</t>
  </si>
  <si>
    <t>هوية، موقع، حقيبة، استراتيجية</t>
  </si>
  <si>
    <t>قيمة أكبر وربط خدمات</t>
  </si>
  <si>
    <t>3,990-4,990+</t>
  </si>
  <si>
    <t>أنظمة، إطلاق، استراتيجية، يومين تدريب</t>
  </si>
  <si>
    <t>حلول عالية الأثر</t>
  </si>
  <si>
    <t>390-3,990+/شهر</t>
  </si>
  <si>
    <t>صيانة، منصات، حملات، دعم</t>
  </si>
  <si>
    <t>رفع LTV واستقرار الإيراد</t>
  </si>
  <si>
    <t>اسم المسار</t>
  </si>
  <si>
    <t>روابط مرجعية عامة</t>
  </si>
  <si>
    <t>ملاحظة الاستخدام</t>
  </si>
  <si>
    <t>مرجع اتجاهي للسوق، وليس تسعيرًا ملزمًا لكل نطاق. يتم ضبط كل خدمة حسب نطاق وكالة فارس.</t>
  </si>
  <si>
    <t>كيف تستخدم نموذج FARIS 360؟</t>
  </si>
  <si>
    <t>1) عدّل فقط الخلايا ذات الخط الأزرق في الافتراضات أو في سعر/ساعات الخدمة عند تغير الواقع.</t>
  </si>
  <si>
    <t>2) عمود الهامش بعد العمولة يجب أن يبقى 50% أو أكثر للخدمات القياسية، أو يكون هناك سبب استراتيجي معلن لخدمة جذب.</t>
  </si>
  <si>
    <t>3) استخدم سعر أرضية 50% لتحديد الحد الأدنى؛ لا تمنح خصمًا يتجاوز مجال الخصم الآمن.</t>
  </si>
  <si>
    <t>4) لا تقارن سعر وكالة فارس بأرخص عرض فقط؛ قارن النطاق والتعديلات والسرعة والإثبات وخدمة ما بعد البيع.</t>
  </si>
  <si>
    <t>5) كل خدمة منخفضة السعر يجب أن تفتح Upsell واضحًا؛ وإلا تصبح عبئًا تشغيليًا.</t>
  </si>
  <si>
    <t>6) الخدمات ذات التشغيل المنخفض أو البيانات السرية تحتاج مراجعة أعلى واعتمادًا بشريًا.</t>
  </si>
  <si>
    <t>7) لا تُظهر للعميل طريقة الإنتاج الداخلية إلا عندما تكون التقنية نفسها هي المنتج المبيع.</t>
  </si>
  <si>
    <t>8) راجع السوق كل 90-180 يومًا، وارفع أو اخفض السعر وفق الطلب، التحويل، ساعات التنفيذ الفعلية، والربحية.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</si>
</sst>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;[Red]\(#,##0\);\-"/>
    <numFmt numFmtId="165" formatCode="0.0%"/>
  </numFmts>
  <fonts count="15" x14ac:knownFonts="1">
    <font>
      <sz val="11"/>
      <color theme="1"/>
      <name val="Arial"/>
      <family val="2"/>
      <scheme val="minor"/>
    </font>
    <font>
      <b/>
      <sz val="16"/>
      <color rgb="FFFFFFFF"/>
      <name val="Arial"/>
    </font>
    <font>
      <b/>
      <sz val="11"/>
      <color rgb="FFFFFFFF"/>
      <name val="Arial"/>
    </font>
    <font>
      <sz val="11"/>
      <color rgb="FF0000FF"/>
      <name val="Arial"/>
    </font>
    <font>
      <b/>
      <sz val="10"/>
      <color rgb="FFFFFFFF"/>
      <name val="Arial"/>
    </font>
    <font>
      <sz val="11"/>
      <color rgb="FF5F6368"/>
      <name val="Arial"/>
    </font>
    <font>
      <sz val="11"/>
      <color rgb="FF000000"/>
      <name val="Arial"/>
    </font>
    <font>
      <sz val="8"/>
      <color rgb="FF008000"/>
      <name val="Arial"/>
    </font>
    <font>
      <b/>
      <sz val="22"/>
      <color rgb="FFFFFFFF"/>
      <name val="Arial"/>
    </font>
    <font>
      <b/>
      <sz val="12"/>
      <color rgb="FFFFFFFF"/>
      <name val="Arial"/>
    </font>
    <font>
      <b/>
      <sz val="11"/>
      <color rgb="FF102A43"/>
      <name val="Arial"/>
    </font>
    <font>
      <b/>
      <sz val="16"/>
      <color rgb="FF102A43"/>
      <name val="Arial"/>
    </font>
    <font>
      <b/>
      <sz val="14"/>
      <color rgb="FFFFFFFF"/>
      <name val="Arial"/>
    </font>
    <font>
      <b/>
      <sz val="20"/>
      <color rgb="FFFFFFFF"/>
      <name val="Arial"/>
    </font>
    <font>
      <sz val="9"/>
      <color rgb="FF008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02A43"/>
      </patternFill>
    </fill>
    <fill>
      <patternFill patternType="solid">
        <fgColor rgb="FFF28C28"/>
      </patternFill>
    </fill>
    <fill>
      <patternFill patternType="solid">
        <fgColor rgb="FFEAF3F8"/>
      </patternFill>
    </fill>
    <fill>
      <patternFill patternType="solid">
        <fgColor rgb="FFFFFFFF"/>
      </patternFill>
    </fill>
    <fill>
      <patternFill patternType="solid">
        <fgColor rgb="FFFFF0E0"/>
      </patternFill>
    </fill>
    <fill>
      <patternFill patternType="solid">
        <fgColor rgb="FFD9F0EE"/>
      </patternFill>
    </fill>
    <fill>
      <patternFill patternType="solid">
        <fgColor rgb="FFE7E9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3" fontId="0" fillId="0" borderId="0" xfId="0" applyNumberFormat="1" applyAlignment="1">
      <alignment vertical="top" wrapText="1"/>
    </xf>
    <xf numFmtId="0" fontId="7" fillId="0" borderId="0" xfId="0" applyFont="1" applyAlignment="1">
      <alignment vertical="top" wrapText="1"/>
    </xf>
    <xf numFmtId="0" fontId="4" fillId="2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vertical="top" wrapText="1"/>
    </xf>
    <xf numFmtId="0" fontId="5" fillId="0" borderId="0" xfId="0" applyFont="1" applyAlignment="1">
      <alignment vertical="top" wrapText="1"/>
    </xf>
    <xf numFmtId="2" fontId="3" fillId="0" borderId="0" xfId="0" applyNumberFormat="1" applyFont="1" applyAlignment="1">
      <alignment vertical="top" wrapText="1"/>
    </xf>
    <xf numFmtId="0" fontId="5" fillId="5" borderId="0" xfId="0" applyFont="1" applyFill="1" applyAlignment="1">
      <alignment vertical="top" wrapText="1"/>
    </xf>
    <xf numFmtId="0" fontId="5" fillId="6" borderId="0" xfId="0" applyFont="1" applyFill="1" applyAlignment="1">
      <alignment vertical="top" wrapText="1"/>
    </xf>
    <xf numFmtId="0" fontId="5" fillId="7" borderId="0" xfId="0" applyFont="1" applyFill="1" applyAlignment="1">
      <alignment vertical="top" wrapText="1"/>
    </xf>
    <xf numFmtId="0" fontId="2" fillId="3" borderId="0" xfId="0" applyFont="1" applyFill="1"/>
    <xf numFmtId="0" fontId="3" fillId="0" borderId="0" xfId="0" applyFont="1"/>
    <xf numFmtId="0" fontId="0" fillId="0" borderId="0" xfId="0" applyAlignment="1">
      <alignment wrapText="1"/>
    </xf>
    <xf numFmtId="0" fontId="2" fillId="2" borderId="0" xfId="0" applyFont="1" applyFill="1"/>
    <xf numFmtId="0" fontId="14" fillId="0" borderId="0" xfId="0" applyFont="1" applyAlignment="1">
      <alignment wrapText="1"/>
    </xf>
    <xf numFmtId="164" fontId="3" fillId="0" borderId="0" xfId="0" applyNumberFormat="1" applyFont="1" applyAlignment="1">
      <alignment vertical="top" wrapText="1"/>
    </xf>
    <xf numFmtId="164" fontId="6" fillId="0" borderId="0" xfId="0" applyNumberFormat="1" applyFont="1" applyAlignment="1">
      <alignment vertical="top" wrapText="1"/>
    </xf>
    <xf numFmtId="165" fontId="6" fillId="0" borderId="0" xfId="0" applyNumberFormat="1" applyFont="1" applyAlignment="1">
      <alignment vertical="top" wrapText="1"/>
    </xf>
    <xf numFmtId="165" fontId="3" fillId="0" borderId="0" xfId="0" applyNumberFormat="1" applyFont="1"/>
    <xf numFmtId="0" fontId="11" fillId="7" borderId="0" xfId="0" applyFont="1" applyFill="1" applyAlignment="1">
      <alignment horizontal="center"/>
    </xf>
    <xf numFmtId="0" fontId="0" fillId="0" borderId="0" xfId="0"/>
    <xf numFmtId="0" fontId="0" fillId="5" borderId="0" xfId="0" applyFill="1" applyAlignment="1">
      <alignment vertical="center" wrapText="1"/>
    </xf>
    <xf numFmtId="0" fontId="10" fillId="8" borderId="0" xfId="0" applyFont="1" applyFill="1" applyAlignment="1">
      <alignment horizontal="center"/>
    </xf>
    <xf numFmtId="0" fontId="0" fillId="4" borderId="0" xfId="0" applyFill="1" applyAlignment="1">
      <alignment vertical="center" wrapText="1"/>
    </xf>
    <xf numFmtId="9" fontId="11" fillId="7" borderId="0" xfId="0" applyNumberFormat="1" applyFont="1" applyFill="1" applyAlignment="1">
      <alignment horizontal="center"/>
    </xf>
    <xf numFmtId="0" fontId="12" fillId="2" borderId="0" xfId="0" applyFont="1" applyFill="1"/>
    <xf numFmtId="0" fontId="9" fillId="3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1" fillId="2" borderId="0" xfId="0" applyFont="1" applyFill="1"/>
    <xf numFmtId="0" fontId="13" fillId="2" borderId="0" xfId="0" applyFont="1" applyFill="1" applyAlignment="1">
      <alignment horizontal="center" vertical="center"/>
    </xf>
  </cellXfs>
  <cellStyles count="1">
    <cellStyle name="عادي" xfId="0" builtinId="0"/>
  </cellStyles>
  <dxfs count="3">
    <dxf>
      <fill>
        <patternFill patternType="solid">
          <fgColor rgb="FFDDEEDB"/>
        </patternFill>
      </fill>
    </dxf>
    <dxf>
      <fill>
        <patternFill patternType="solid">
          <fgColor rgb="FFDDEEDB"/>
        </patternFill>
      </fill>
    </dxf>
    <dxf>
      <fill>
        <patternFill patternType="solid">
          <fgColor rgb="FFFCE2E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showGridLines="0" rightToLeft="1" topLeftCell="B9" workbookViewId="0">
      <selection activeCell="E9" sqref="E9:F9"/>
    </sheetView>
  </sheetViews>
  <sheetFormatPr defaultRowHeight="14.25" x14ac:dyDescent="0.2"/>
  <cols>
    <col min="1" max="1" width="34" customWidth="1"/>
    <col min="2" max="2" width="10" customWidth="1"/>
    <col min="3" max="4" width="13" customWidth="1"/>
    <col min="5" max="5" width="14" customWidth="1"/>
    <col min="6" max="7" width="17" customWidth="1"/>
    <col min="8" max="8" width="55" customWidth="1"/>
  </cols>
  <sheetData>
    <row r="1" spans="1:8" x14ac:dyDescent="0.2">
      <c r="A1" s="29" t="s">
        <v>0</v>
      </c>
      <c r="B1" s="22"/>
      <c r="C1" s="22"/>
      <c r="D1" s="22"/>
      <c r="E1" s="22"/>
      <c r="F1" s="22"/>
      <c r="G1" s="22"/>
      <c r="H1" s="22"/>
    </row>
    <row r="2" spans="1:8" x14ac:dyDescent="0.2">
      <c r="A2" s="22"/>
      <c r="B2" s="22"/>
      <c r="C2" s="22"/>
      <c r="D2" s="22"/>
      <c r="E2" s="22"/>
      <c r="F2" s="22"/>
      <c r="G2" s="22"/>
      <c r="H2" s="22"/>
    </row>
    <row r="3" spans="1:8" ht="15.75" x14ac:dyDescent="0.25">
      <c r="A3" s="28" t="s">
        <v>1</v>
      </c>
      <c r="B3" s="22"/>
      <c r="C3" s="22"/>
      <c r="D3" s="22"/>
      <c r="E3" s="22"/>
      <c r="F3" s="22"/>
      <c r="G3" s="22"/>
      <c r="H3" s="22"/>
    </row>
    <row r="5" spans="1:8" ht="15" x14ac:dyDescent="0.25">
      <c r="A5" s="24" t="s">
        <v>2</v>
      </c>
      <c r="B5" s="22"/>
      <c r="C5" s="24" t="s">
        <v>3</v>
      </c>
      <c r="D5" s="22"/>
      <c r="E5" s="24" t="s">
        <v>4</v>
      </c>
      <c r="F5" s="22"/>
    </row>
    <row r="6" spans="1:8" ht="20.25" x14ac:dyDescent="0.3">
      <c r="A6" s="21">
        <v>96</v>
      </c>
      <c r="B6" s="22"/>
      <c r="C6" s="21">
        <v>12</v>
      </c>
      <c r="D6" s="22"/>
      <c r="E6" s="21">
        <v>29</v>
      </c>
      <c r="F6" s="22"/>
    </row>
    <row r="8" spans="1:8" ht="15" x14ac:dyDescent="0.25">
      <c r="A8" s="24" t="s">
        <v>5</v>
      </c>
      <c r="B8" s="22"/>
      <c r="C8" s="24" t="s">
        <v>6</v>
      </c>
      <c r="D8" s="22"/>
      <c r="E8" s="24" t="s">
        <v>7</v>
      </c>
      <c r="F8" s="22"/>
    </row>
    <row r="9" spans="1:8" ht="20.25" x14ac:dyDescent="0.3">
      <c r="A9" s="21">
        <v>4990</v>
      </c>
      <c r="B9" s="22"/>
      <c r="C9" s="26">
        <v>0.5</v>
      </c>
      <c r="D9" s="22"/>
      <c r="E9" s="26">
        <v>0.05</v>
      </c>
      <c r="F9" s="22"/>
    </row>
    <row r="12" spans="1:8" ht="18" x14ac:dyDescent="0.25">
      <c r="A12" s="27" t="s">
        <v>8</v>
      </c>
      <c r="B12" s="22"/>
      <c r="C12" s="22"/>
      <c r="D12" s="22"/>
      <c r="E12" s="22"/>
      <c r="F12" s="22"/>
      <c r="G12" s="22"/>
      <c r="H12" s="22"/>
    </row>
    <row r="13" spans="1:8" ht="33.950000000000003" customHeight="1" x14ac:dyDescent="0.2">
      <c r="A13" s="23" t="s">
        <v>9</v>
      </c>
      <c r="B13" s="22"/>
      <c r="C13" s="22"/>
      <c r="D13" s="22"/>
      <c r="E13" s="22"/>
      <c r="F13" s="22"/>
      <c r="G13" s="22"/>
      <c r="H13" s="22"/>
    </row>
    <row r="14" spans="1:8" ht="33.950000000000003" customHeight="1" x14ac:dyDescent="0.2">
      <c r="A14" s="25" t="s">
        <v>10</v>
      </c>
      <c r="B14" s="22"/>
      <c r="C14" s="22"/>
      <c r="D14" s="22"/>
      <c r="E14" s="22"/>
      <c r="F14" s="22"/>
      <c r="G14" s="22"/>
      <c r="H14" s="22"/>
    </row>
    <row r="15" spans="1:8" ht="33.950000000000003" customHeight="1" x14ac:dyDescent="0.2">
      <c r="A15" s="23" t="s">
        <v>11</v>
      </c>
      <c r="B15" s="22"/>
      <c r="C15" s="22"/>
      <c r="D15" s="22"/>
      <c r="E15" s="22"/>
      <c r="F15" s="22"/>
      <c r="G15" s="22"/>
      <c r="H15" s="22"/>
    </row>
    <row r="16" spans="1:8" ht="33.950000000000003" customHeight="1" x14ac:dyDescent="0.2">
      <c r="A16" s="25" t="s">
        <v>12</v>
      </c>
      <c r="B16" s="22"/>
      <c r="C16" s="22"/>
      <c r="D16" s="22"/>
      <c r="E16" s="22"/>
      <c r="F16" s="22"/>
      <c r="G16" s="22"/>
      <c r="H16" s="22"/>
    </row>
    <row r="17" spans="1:8" ht="33.950000000000003" customHeight="1" x14ac:dyDescent="0.2">
      <c r="A17" s="23" t="s">
        <v>13</v>
      </c>
      <c r="B17" s="22"/>
      <c r="C17" s="22"/>
      <c r="D17" s="22"/>
      <c r="E17" s="22"/>
      <c r="F17" s="22"/>
      <c r="G17" s="22"/>
      <c r="H17" s="22"/>
    </row>
    <row r="18" spans="1:8" ht="33.950000000000003" customHeight="1" x14ac:dyDescent="0.2">
      <c r="A18" s="25" t="s">
        <v>14</v>
      </c>
      <c r="B18" s="22"/>
      <c r="C18" s="22"/>
      <c r="D18" s="22"/>
      <c r="E18" s="22"/>
      <c r="F18" s="22"/>
      <c r="G18" s="22"/>
      <c r="H18" s="22"/>
    </row>
    <row r="21" spans="1:8" ht="18" x14ac:dyDescent="0.25">
      <c r="A21" s="27" t="s">
        <v>15</v>
      </c>
      <c r="B21" s="22"/>
      <c r="C21" s="22"/>
      <c r="D21" s="22"/>
      <c r="E21" s="22"/>
      <c r="F21" s="22"/>
      <c r="G21" s="22"/>
      <c r="H21" s="22"/>
    </row>
    <row r="22" spans="1:8" ht="15" x14ac:dyDescent="0.25">
      <c r="A22" s="1" t="s">
        <v>16</v>
      </c>
      <c r="B22" s="1" t="s">
        <v>17</v>
      </c>
      <c r="C22" s="1" t="s">
        <v>18</v>
      </c>
      <c r="D22" s="1" t="s">
        <v>19</v>
      </c>
      <c r="E22" s="1" t="s">
        <v>20</v>
      </c>
      <c r="F22" s="1" t="s">
        <v>21</v>
      </c>
      <c r="G22" s="1" t="s">
        <v>22</v>
      </c>
      <c r="H22" s="1" t="s">
        <v>23</v>
      </c>
    </row>
    <row r="23" spans="1:8" x14ac:dyDescent="0.2">
      <c r="A23" s="2" t="s">
        <v>24</v>
      </c>
      <c r="B23" s="2">
        <v>8</v>
      </c>
      <c r="C23" s="3">
        <v>39</v>
      </c>
      <c r="D23" s="3">
        <v>199</v>
      </c>
      <c r="E23" s="3">
        <v>91.5</v>
      </c>
      <c r="F23" s="3">
        <v>20</v>
      </c>
      <c r="G23" s="3">
        <v>700</v>
      </c>
      <c r="H23" s="4" t="s">
        <v>25</v>
      </c>
    </row>
    <row r="24" spans="1:8" ht="22.5" x14ac:dyDescent="0.2">
      <c r="A24" s="2" t="s">
        <v>26</v>
      </c>
      <c r="B24" s="2">
        <v>8</v>
      </c>
      <c r="C24" s="3">
        <v>149</v>
      </c>
      <c r="D24" s="3">
        <v>4990</v>
      </c>
      <c r="E24" s="3">
        <v>1474.625</v>
      </c>
      <c r="F24" s="3">
        <v>150</v>
      </c>
      <c r="G24" s="3">
        <v>35000</v>
      </c>
      <c r="H24" s="4" t="s">
        <v>27</v>
      </c>
    </row>
    <row r="25" spans="1:8" x14ac:dyDescent="0.2">
      <c r="A25" s="2" t="s">
        <v>28</v>
      </c>
      <c r="B25" s="2">
        <v>8</v>
      </c>
      <c r="C25" s="3">
        <v>39</v>
      </c>
      <c r="D25" s="3">
        <v>990</v>
      </c>
      <c r="E25" s="3">
        <v>251.625</v>
      </c>
      <c r="F25" s="3">
        <v>25</v>
      </c>
      <c r="G25" s="3">
        <v>4000</v>
      </c>
      <c r="H25" s="4" t="s">
        <v>29</v>
      </c>
    </row>
    <row r="26" spans="1:8" ht="33.75" x14ac:dyDescent="0.2">
      <c r="A26" s="2" t="s">
        <v>30</v>
      </c>
      <c r="B26" s="2">
        <v>8</v>
      </c>
      <c r="C26" s="3">
        <v>29</v>
      </c>
      <c r="D26" s="3">
        <v>499</v>
      </c>
      <c r="E26" s="3">
        <v>334</v>
      </c>
      <c r="F26" s="3">
        <v>20</v>
      </c>
      <c r="G26" s="3">
        <v>4000</v>
      </c>
      <c r="H26" s="4" t="s">
        <v>31</v>
      </c>
    </row>
    <row r="27" spans="1:8" ht="22.5" x14ac:dyDescent="0.2">
      <c r="A27" s="2" t="s">
        <v>32</v>
      </c>
      <c r="B27" s="2">
        <v>8</v>
      </c>
      <c r="C27" s="3">
        <v>590</v>
      </c>
      <c r="D27" s="3">
        <v>2990</v>
      </c>
      <c r="E27" s="3">
        <v>1565</v>
      </c>
      <c r="F27" s="3">
        <v>400</v>
      </c>
      <c r="G27" s="3">
        <v>17000</v>
      </c>
      <c r="H27" s="4" t="s">
        <v>33</v>
      </c>
    </row>
    <row r="28" spans="1:8" ht="22.5" x14ac:dyDescent="0.2">
      <c r="A28" s="2" t="s">
        <v>34</v>
      </c>
      <c r="B28" s="2">
        <v>8</v>
      </c>
      <c r="C28" s="3">
        <v>299</v>
      </c>
      <c r="D28" s="3">
        <v>3990</v>
      </c>
      <c r="E28" s="3">
        <v>1466.125</v>
      </c>
      <c r="F28" s="3">
        <v>200</v>
      </c>
      <c r="G28" s="3">
        <v>9000</v>
      </c>
      <c r="H28" s="4" t="s">
        <v>35</v>
      </c>
    </row>
    <row r="29" spans="1:8" x14ac:dyDescent="0.2">
      <c r="A29" s="2" t="s">
        <v>36</v>
      </c>
      <c r="B29" s="2">
        <v>8</v>
      </c>
      <c r="C29" s="3">
        <v>149</v>
      </c>
      <c r="D29" s="3">
        <v>2490</v>
      </c>
      <c r="E29" s="3">
        <v>993.375</v>
      </c>
      <c r="F29" s="3">
        <v>100</v>
      </c>
      <c r="G29" s="3">
        <v>7000</v>
      </c>
      <c r="H29" s="4" t="s">
        <v>37</v>
      </c>
    </row>
    <row r="30" spans="1:8" ht="33.75" x14ac:dyDescent="0.2">
      <c r="A30" s="2" t="s">
        <v>38</v>
      </c>
      <c r="B30" s="2">
        <v>8</v>
      </c>
      <c r="C30" s="3">
        <v>390</v>
      </c>
      <c r="D30" s="3">
        <v>4990</v>
      </c>
      <c r="E30" s="3">
        <v>2127.5</v>
      </c>
      <c r="F30" s="3">
        <v>300</v>
      </c>
      <c r="G30" s="3">
        <v>25000</v>
      </c>
      <c r="H30" s="4" t="s">
        <v>39</v>
      </c>
    </row>
    <row r="31" spans="1:8" x14ac:dyDescent="0.2">
      <c r="A31" s="2" t="s">
        <v>40</v>
      </c>
      <c r="B31" s="2">
        <v>8</v>
      </c>
      <c r="C31" s="3">
        <v>690</v>
      </c>
      <c r="D31" s="3">
        <v>4990</v>
      </c>
      <c r="E31" s="3">
        <v>2452.5</v>
      </c>
      <c r="F31" s="3">
        <v>500</v>
      </c>
      <c r="G31" s="3">
        <v>12000</v>
      </c>
      <c r="H31" s="4" t="s">
        <v>41</v>
      </c>
    </row>
    <row r="32" spans="1:8" ht="45" x14ac:dyDescent="0.2">
      <c r="A32" s="2" t="s">
        <v>42</v>
      </c>
      <c r="B32" s="2">
        <v>8</v>
      </c>
      <c r="C32" s="3">
        <v>390</v>
      </c>
      <c r="D32" s="3">
        <v>3990</v>
      </c>
      <c r="E32" s="3">
        <v>1352.5</v>
      </c>
      <c r="F32" s="3">
        <v>250</v>
      </c>
      <c r="G32" s="3">
        <v>12000</v>
      </c>
      <c r="H32" s="4" t="s">
        <v>43</v>
      </c>
    </row>
    <row r="33" spans="1:8" ht="22.5" x14ac:dyDescent="0.2">
      <c r="A33" s="2" t="s">
        <v>44</v>
      </c>
      <c r="B33" s="2">
        <v>8</v>
      </c>
      <c r="C33" s="3">
        <v>299</v>
      </c>
      <c r="D33" s="3">
        <v>4990</v>
      </c>
      <c r="E33" s="3">
        <v>2528.625</v>
      </c>
      <c r="F33" s="3">
        <v>99</v>
      </c>
      <c r="G33" s="3">
        <v>8000</v>
      </c>
      <c r="H33" s="4" t="s">
        <v>45</v>
      </c>
    </row>
    <row r="34" spans="1:8" ht="22.5" x14ac:dyDescent="0.2">
      <c r="A34" s="2" t="s">
        <v>46</v>
      </c>
      <c r="B34" s="2">
        <v>8</v>
      </c>
      <c r="C34" s="3">
        <v>249</v>
      </c>
      <c r="D34" s="3">
        <v>4990</v>
      </c>
      <c r="E34" s="3">
        <v>2209.875</v>
      </c>
      <c r="F34" s="3">
        <v>200</v>
      </c>
      <c r="G34" s="3">
        <v>15000</v>
      </c>
      <c r="H34" s="4" t="s">
        <v>47</v>
      </c>
    </row>
  </sheetData>
  <mergeCells count="22">
    <mergeCell ref="A1:H2"/>
    <mergeCell ref="A8:B8"/>
    <mergeCell ref="C8:D8"/>
    <mergeCell ref="A17:H17"/>
    <mergeCell ref="A13:H13"/>
    <mergeCell ref="A9:B9"/>
    <mergeCell ref="A3:H3"/>
    <mergeCell ref="E6:F6"/>
    <mergeCell ref="A21:H21"/>
    <mergeCell ref="A5:B5"/>
    <mergeCell ref="A14:H14"/>
    <mergeCell ref="A16:H16"/>
    <mergeCell ref="C9:D9"/>
    <mergeCell ref="E9:F9"/>
    <mergeCell ref="A12:H12"/>
    <mergeCell ref="A18:H18"/>
    <mergeCell ref="C6:D6"/>
    <mergeCell ref="A15:H15"/>
    <mergeCell ref="C5:D5"/>
    <mergeCell ref="E5:F5"/>
    <mergeCell ref="E8:F8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97"/>
  <sheetViews>
    <sheetView showGridLines="0" rightToLeft="1" workbookViewId="0">
      <pane ySplit="1" topLeftCell="A2" activePane="bottomLeft" state="frozen"/>
      <selection pane="bottomLeft"/>
    </sheetView>
  </sheetViews>
  <sheetFormatPr defaultRowHeight="14.25" x14ac:dyDescent="0.2"/>
  <cols>
    <col min="1" max="1" width="5" customWidth="1"/>
    <col min="2" max="2" width="26" customWidth="1"/>
    <col min="3" max="3" width="27" customWidth="1"/>
    <col min="4" max="4" width="28" customWidth="1"/>
    <col min="5" max="5" width="20" customWidth="1"/>
    <col min="6" max="6" width="34" customWidth="1"/>
    <col min="7" max="7" width="15" customWidth="1"/>
    <col min="8" max="9" width="14" customWidth="1"/>
    <col min="10" max="10" width="12" customWidth="1"/>
    <col min="11" max="11" width="14" customWidth="1"/>
    <col min="12" max="13" width="12" customWidth="1"/>
    <col min="14" max="14" width="14" customWidth="1"/>
    <col min="15" max="15" width="15" customWidth="1"/>
    <col min="16" max="16" width="14" customWidth="1"/>
    <col min="17" max="18" width="13" customWidth="1"/>
    <col min="19" max="19" width="16" customWidth="1"/>
    <col min="20" max="20" width="14" customWidth="1"/>
    <col min="21" max="21" width="12" customWidth="1"/>
    <col min="22" max="22" width="17" customWidth="1"/>
    <col min="23" max="23" width="14" customWidth="1"/>
    <col min="24" max="24" width="13" customWidth="1"/>
    <col min="25" max="26" width="24" customWidth="1"/>
    <col min="27" max="27" width="22" customWidth="1"/>
    <col min="28" max="28" width="20" customWidth="1"/>
    <col min="29" max="29" width="24" customWidth="1"/>
    <col min="30" max="30" width="22" customWidth="1"/>
    <col min="31" max="31" width="24" customWidth="1"/>
    <col min="32" max="32" width="15" customWidth="1"/>
    <col min="33" max="33" width="11" customWidth="1"/>
    <col min="34" max="35" width="14" customWidth="1"/>
    <col min="36" max="36" width="18" customWidth="1"/>
    <col min="37" max="37" width="13" customWidth="1"/>
    <col min="38" max="38" width="12" customWidth="1"/>
    <col min="39" max="39" width="55" customWidth="1"/>
  </cols>
  <sheetData>
    <row r="1" spans="1:39" ht="42" customHeight="1" x14ac:dyDescent="0.2">
      <c r="A1" s="5" t="s">
        <v>48</v>
      </c>
      <c r="B1" s="5" t="s">
        <v>16</v>
      </c>
      <c r="C1" s="5" t="s">
        <v>49</v>
      </c>
      <c r="D1" s="5" t="s">
        <v>50</v>
      </c>
      <c r="E1" s="5" t="s">
        <v>51</v>
      </c>
      <c r="F1" s="5" t="s">
        <v>52</v>
      </c>
      <c r="G1" s="5" t="s">
        <v>53</v>
      </c>
      <c r="H1" s="5" t="s">
        <v>54</v>
      </c>
      <c r="I1" s="5" t="s">
        <v>55</v>
      </c>
      <c r="J1" s="5" t="s">
        <v>56</v>
      </c>
      <c r="K1" s="5" t="s">
        <v>57</v>
      </c>
      <c r="L1" s="5" t="s">
        <v>58</v>
      </c>
      <c r="M1" s="5" t="s">
        <v>59</v>
      </c>
      <c r="N1" s="5" t="s">
        <v>60</v>
      </c>
      <c r="O1" s="5" t="s">
        <v>61</v>
      </c>
      <c r="P1" s="5" t="s">
        <v>62</v>
      </c>
      <c r="Q1" s="5" t="s">
        <v>63</v>
      </c>
      <c r="R1" s="5" t="s">
        <v>64</v>
      </c>
      <c r="S1" s="5" t="s">
        <v>65</v>
      </c>
      <c r="T1" s="5" t="s">
        <v>66</v>
      </c>
      <c r="U1" s="5" t="s">
        <v>67</v>
      </c>
      <c r="V1" s="5" t="s">
        <v>68</v>
      </c>
      <c r="W1" s="5" t="s">
        <v>69</v>
      </c>
      <c r="X1" s="5" t="s">
        <v>70</v>
      </c>
      <c r="Y1" s="5" t="s">
        <v>71</v>
      </c>
      <c r="Z1" s="5" t="s">
        <v>72</v>
      </c>
      <c r="AA1" s="5" t="s">
        <v>73</v>
      </c>
      <c r="AB1" s="5" t="s">
        <v>74</v>
      </c>
      <c r="AC1" s="5" t="s">
        <v>75</v>
      </c>
      <c r="AD1" s="5" t="s">
        <v>76</v>
      </c>
      <c r="AE1" s="5" t="s">
        <v>77</v>
      </c>
      <c r="AF1" s="5" t="s">
        <v>78</v>
      </c>
      <c r="AG1" s="5" t="s">
        <v>79</v>
      </c>
      <c r="AH1" s="5" t="s">
        <v>80</v>
      </c>
      <c r="AI1" s="5" t="s">
        <v>81</v>
      </c>
      <c r="AJ1" s="5" t="s">
        <v>82</v>
      </c>
      <c r="AK1" s="5" t="s">
        <v>83</v>
      </c>
      <c r="AL1" s="5" t="s">
        <v>84</v>
      </c>
      <c r="AM1" s="5" t="s">
        <v>85</v>
      </c>
    </row>
    <row r="2" spans="1:39" ht="54" customHeight="1" x14ac:dyDescent="0.2">
      <c r="A2" s="6">
        <v>1</v>
      </c>
      <c r="B2" s="6" t="s">
        <v>24</v>
      </c>
      <c r="C2" s="6" t="s">
        <v>86</v>
      </c>
      <c r="D2" s="6" t="s">
        <v>86</v>
      </c>
      <c r="E2" s="7" t="s">
        <v>87</v>
      </c>
      <c r="F2" s="7" t="s">
        <v>88</v>
      </c>
      <c r="G2" s="17">
        <v>49</v>
      </c>
      <c r="H2" s="17">
        <v>25</v>
      </c>
      <c r="I2" s="17">
        <v>150</v>
      </c>
      <c r="J2" s="8">
        <v>0.3</v>
      </c>
      <c r="K2" s="17">
        <v>35</v>
      </c>
      <c r="L2" s="8">
        <v>0.02</v>
      </c>
      <c r="M2" s="17">
        <v>1</v>
      </c>
      <c r="N2" s="17">
        <v>0</v>
      </c>
      <c r="O2" s="18">
        <f>J2*K2+L2*الافتراضات!$B$3+M2+N2</f>
        <v>15.5</v>
      </c>
      <c r="P2" s="18">
        <f>O2*الافتراضات!$B$7</f>
        <v>0.62</v>
      </c>
      <c r="Q2" s="18">
        <f>G2*الافتراضات!$B$4</f>
        <v>1.2250000000000001</v>
      </c>
      <c r="R2" s="18">
        <f>G2*الافتراضات!$B$5</f>
        <v>2.4500000000000002</v>
      </c>
      <c r="S2" s="18">
        <f t="shared" ref="S2:S33" si="0">SUM(O2:R2)</f>
        <v>19.795000000000002</v>
      </c>
      <c r="T2" s="19">
        <f t="shared" ref="T2:T33" si="1">(G2-S2)/G2</f>
        <v>0.59602040816326529</v>
      </c>
      <c r="U2" s="19">
        <f t="shared" ref="U2:U33" si="2">(G2-(O2+P2+Q2))/G2</f>
        <v>0.64602040816326523</v>
      </c>
      <c r="V2" s="18">
        <f>(O2+P2)/((1-الافتراضات!$B$4-الافتراضات!$B$5)*(1-الافتراضات!$B$6))</f>
        <v>34.85405405405406</v>
      </c>
      <c r="W2" s="19">
        <f t="shared" ref="W2:W33" si="3">MAX(0,(G2-V2)/G2)</f>
        <v>0.28869277440705998</v>
      </c>
      <c r="X2" s="7" t="s">
        <v>89</v>
      </c>
      <c r="Y2" s="7" t="s">
        <v>90</v>
      </c>
      <c r="Z2" s="7" t="s">
        <v>91</v>
      </c>
      <c r="AA2" s="7" t="s">
        <v>92</v>
      </c>
      <c r="AB2" s="7" t="s">
        <v>93</v>
      </c>
      <c r="AC2" s="7" t="s">
        <v>94</v>
      </c>
      <c r="AD2" s="7" t="s">
        <v>95</v>
      </c>
      <c r="AE2" s="7" t="s">
        <v>96</v>
      </c>
      <c r="AF2" s="7" t="s">
        <v>97</v>
      </c>
      <c r="AG2" s="7" t="s">
        <v>98</v>
      </c>
      <c r="AH2" s="7" t="s">
        <v>99</v>
      </c>
      <c r="AI2" s="7" t="s">
        <v>100</v>
      </c>
      <c r="AJ2" s="7" t="s">
        <v>101</v>
      </c>
      <c r="AK2" s="7">
        <v>85</v>
      </c>
      <c r="AL2" s="7" t="s">
        <v>102</v>
      </c>
      <c r="AM2" s="4" t="s">
        <v>25</v>
      </c>
    </row>
    <row r="3" spans="1:39" ht="54" customHeight="1" x14ac:dyDescent="0.2">
      <c r="A3" s="6">
        <v>2</v>
      </c>
      <c r="B3" s="6" t="s">
        <v>24</v>
      </c>
      <c r="C3" s="6" t="s">
        <v>103</v>
      </c>
      <c r="D3" s="6" t="s">
        <v>103</v>
      </c>
      <c r="E3" s="7" t="s">
        <v>87</v>
      </c>
      <c r="F3" s="7" t="s">
        <v>104</v>
      </c>
      <c r="G3" s="17">
        <v>59</v>
      </c>
      <c r="H3" s="17">
        <v>30</v>
      </c>
      <c r="I3" s="17">
        <v>180</v>
      </c>
      <c r="J3" s="8">
        <v>0.35</v>
      </c>
      <c r="K3" s="17">
        <v>35</v>
      </c>
      <c r="L3" s="8">
        <v>0.02</v>
      </c>
      <c r="M3" s="17">
        <v>1</v>
      </c>
      <c r="N3" s="17">
        <v>0</v>
      </c>
      <c r="O3" s="18">
        <f>J3*K3+L3*الافتراضات!$B$3+M3+N3</f>
        <v>17.25</v>
      </c>
      <c r="P3" s="18">
        <f>O3*الافتراضات!$B$7</f>
        <v>0.69000000000000006</v>
      </c>
      <c r="Q3" s="18">
        <f>G3*الافتراضات!$B$4</f>
        <v>1.4750000000000001</v>
      </c>
      <c r="R3" s="18">
        <f>G3*الافتراضات!$B$5</f>
        <v>2.95</v>
      </c>
      <c r="S3" s="18">
        <f t="shared" si="0"/>
        <v>22.365000000000002</v>
      </c>
      <c r="T3" s="19">
        <f t="shared" si="1"/>
        <v>0.62093220338983046</v>
      </c>
      <c r="U3" s="19">
        <f t="shared" si="2"/>
        <v>0.67093220338983039</v>
      </c>
      <c r="V3" s="18">
        <f>(O3+P3)/((1-الافتراضات!$B$4-الافتراضات!$B$5)*(1-الافتراضات!$B$6))</f>
        <v>38.789189189189194</v>
      </c>
      <c r="W3" s="19">
        <f t="shared" si="3"/>
        <v>0.34255611543747128</v>
      </c>
      <c r="X3" s="7" t="s">
        <v>105</v>
      </c>
      <c r="Y3" s="7" t="s">
        <v>90</v>
      </c>
      <c r="Z3" s="7" t="s">
        <v>91</v>
      </c>
      <c r="AA3" s="7" t="s">
        <v>106</v>
      </c>
      <c r="AB3" s="7" t="s">
        <v>93</v>
      </c>
      <c r="AC3" s="7" t="s">
        <v>107</v>
      </c>
      <c r="AD3" s="7" t="s">
        <v>95</v>
      </c>
      <c r="AE3" s="7" t="s">
        <v>108</v>
      </c>
      <c r="AF3" s="7" t="s">
        <v>97</v>
      </c>
      <c r="AG3" s="7" t="s">
        <v>98</v>
      </c>
      <c r="AH3" s="7" t="s">
        <v>99</v>
      </c>
      <c r="AI3" s="7" t="s">
        <v>100</v>
      </c>
      <c r="AJ3" s="7" t="s">
        <v>109</v>
      </c>
      <c r="AK3" s="7">
        <v>84</v>
      </c>
      <c r="AL3" s="7" t="s">
        <v>110</v>
      </c>
      <c r="AM3" s="4" t="s">
        <v>25</v>
      </c>
    </row>
    <row r="4" spans="1:39" ht="54" customHeight="1" x14ac:dyDescent="0.2">
      <c r="A4" s="6">
        <v>3</v>
      </c>
      <c r="B4" s="6" t="s">
        <v>24</v>
      </c>
      <c r="C4" s="6" t="s">
        <v>111</v>
      </c>
      <c r="D4" s="6" t="s">
        <v>112</v>
      </c>
      <c r="E4" s="7" t="s">
        <v>113</v>
      </c>
      <c r="F4" s="7" t="s">
        <v>114</v>
      </c>
      <c r="G4" s="17">
        <v>89</v>
      </c>
      <c r="H4" s="17">
        <v>50</v>
      </c>
      <c r="I4" s="17">
        <v>250</v>
      </c>
      <c r="J4" s="8">
        <v>0.55000000000000004</v>
      </c>
      <c r="K4" s="17">
        <v>35</v>
      </c>
      <c r="L4" s="8">
        <v>0.03</v>
      </c>
      <c r="M4" s="17">
        <v>1.5</v>
      </c>
      <c r="N4" s="17">
        <v>0</v>
      </c>
      <c r="O4" s="18">
        <f>J4*K4+L4*الافتراضات!$B$3+M4+N4</f>
        <v>26.75</v>
      </c>
      <c r="P4" s="18">
        <f>O4*الافتراضات!$B$7</f>
        <v>1.07</v>
      </c>
      <c r="Q4" s="18">
        <f>G4*الافتراضات!$B$4</f>
        <v>2.2250000000000001</v>
      </c>
      <c r="R4" s="18">
        <f>G4*الافتراضات!$B$5</f>
        <v>4.45</v>
      </c>
      <c r="S4" s="18">
        <f t="shared" si="0"/>
        <v>34.495000000000005</v>
      </c>
      <c r="T4" s="19">
        <f t="shared" si="1"/>
        <v>0.61241573033707863</v>
      </c>
      <c r="U4" s="19">
        <f t="shared" si="2"/>
        <v>0.66241573033707868</v>
      </c>
      <c r="V4" s="18">
        <f>(O4+P4)/((1-الافتراضات!$B$4-الافتراضات!$B$5)*(1-الافتراضات!$B$6))</f>
        <v>60.151351351351359</v>
      </c>
      <c r="W4" s="19">
        <f t="shared" si="3"/>
        <v>0.32414211964773754</v>
      </c>
      <c r="X4" s="7" t="s">
        <v>115</v>
      </c>
      <c r="Y4" s="7" t="s">
        <v>116</v>
      </c>
      <c r="Z4" s="7" t="s">
        <v>90</v>
      </c>
      <c r="AA4" s="7" t="s">
        <v>117</v>
      </c>
      <c r="AB4" s="7" t="s">
        <v>118</v>
      </c>
      <c r="AC4" s="7" t="s">
        <v>119</v>
      </c>
      <c r="AD4" s="7" t="s">
        <v>120</v>
      </c>
      <c r="AE4" s="7" t="s">
        <v>121</v>
      </c>
      <c r="AF4" s="7" t="s">
        <v>122</v>
      </c>
      <c r="AG4" s="7" t="s">
        <v>98</v>
      </c>
      <c r="AH4" s="7" t="s">
        <v>99</v>
      </c>
      <c r="AI4" s="7" t="s">
        <v>100</v>
      </c>
      <c r="AJ4" s="7" t="s">
        <v>123</v>
      </c>
      <c r="AK4" s="7">
        <v>84</v>
      </c>
      <c r="AL4" s="7" t="s">
        <v>110</v>
      </c>
      <c r="AM4" s="4" t="s">
        <v>25</v>
      </c>
    </row>
    <row r="5" spans="1:39" ht="54" customHeight="1" x14ac:dyDescent="0.2">
      <c r="A5" s="6">
        <v>4</v>
      </c>
      <c r="B5" s="6" t="s">
        <v>24</v>
      </c>
      <c r="C5" s="6" t="s">
        <v>124</v>
      </c>
      <c r="D5" s="6" t="s">
        <v>124</v>
      </c>
      <c r="E5" s="7" t="s">
        <v>125</v>
      </c>
      <c r="F5" s="7" t="s">
        <v>126</v>
      </c>
      <c r="G5" s="17">
        <v>149</v>
      </c>
      <c r="H5" s="17">
        <v>150</v>
      </c>
      <c r="I5" s="17">
        <v>500</v>
      </c>
      <c r="J5" s="8">
        <v>0.65</v>
      </c>
      <c r="K5" s="17">
        <v>45</v>
      </c>
      <c r="L5" s="8">
        <v>0.03</v>
      </c>
      <c r="M5" s="17">
        <v>2</v>
      </c>
      <c r="N5" s="17">
        <v>0</v>
      </c>
      <c r="O5" s="18">
        <f>J5*K5+L5*الافتراضات!$B$3+M5+N5</f>
        <v>37.25</v>
      </c>
      <c r="P5" s="18">
        <f>O5*الافتراضات!$B$7</f>
        <v>1.49</v>
      </c>
      <c r="Q5" s="18">
        <f>G5*الافتراضات!$B$4</f>
        <v>3.7250000000000001</v>
      </c>
      <c r="R5" s="18">
        <f>G5*الافتراضات!$B$5</f>
        <v>7.45</v>
      </c>
      <c r="S5" s="18">
        <f t="shared" si="0"/>
        <v>49.915000000000006</v>
      </c>
      <c r="T5" s="19">
        <f t="shared" si="1"/>
        <v>0.66499999999999992</v>
      </c>
      <c r="U5" s="19">
        <f t="shared" si="2"/>
        <v>0.71499999999999997</v>
      </c>
      <c r="V5" s="18">
        <f>(O5+P5)/((1-الافتراضات!$B$4-الافتراضات!$B$5)*(1-الافتراضات!$B$6))</f>
        <v>83.76216216216217</v>
      </c>
      <c r="W5" s="19">
        <f t="shared" si="3"/>
        <v>0.43783783783783781</v>
      </c>
      <c r="X5" s="7" t="s">
        <v>127</v>
      </c>
      <c r="Y5" s="7" t="s">
        <v>128</v>
      </c>
      <c r="Z5" s="7" t="s">
        <v>129</v>
      </c>
      <c r="AA5" s="7" t="s">
        <v>130</v>
      </c>
      <c r="AB5" s="7" t="s">
        <v>131</v>
      </c>
      <c r="AC5" s="7" t="s">
        <v>132</v>
      </c>
      <c r="AD5" s="7" t="s">
        <v>133</v>
      </c>
      <c r="AE5" s="7" t="s">
        <v>134</v>
      </c>
      <c r="AF5" s="7" t="s">
        <v>135</v>
      </c>
      <c r="AG5" s="7" t="s">
        <v>136</v>
      </c>
      <c r="AH5" s="7" t="s">
        <v>137</v>
      </c>
      <c r="AI5" s="7" t="s">
        <v>100</v>
      </c>
      <c r="AJ5" s="7" t="s">
        <v>138</v>
      </c>
      <c r="AK5" s="7">
        <v>82</v>
      </c>
      <c r="AL5" s="7" t="s">
        <v>110</v>
      </c>
      <c r="AM5" s="4" t="s">
        <v>25</v>
      </c>
    </row>
    <row r="6" spans="1:39" ht="54" customHeight="1" x14ac:dyDescent="0.2">
      <c r="A6" s="6">
        <v>5</v>
      </c>
      <c r="B6" s="6" t="s">
        <v>24</v>
      </c>
      <c r="C6" s="6" t="s">
        <v>139</v>
      </c>
      <c r="D6" s="6" t="s">
        <v>140</v>
      </c>
      <c r="E6" s="7" t="s">
        <v>141</v>
      </c>
      <c r="F6" s="7" t="s">
        <v>142</v>
      </c>
      <c r="G6" s="17">
        <v>99</v>
      </c>
      <c r="H6" s="17">
        <v>50</v>
      </c>
      <c r="I6" s="17">
        <v>300</v>
      </c>
      <c r="J6" s="8">
        <v>0.55000000000000004</v>
      </c>
      <c r="K6" s="17">
        <v>40</v>
      </c>
      <c r="L6" s="8">
        <v>0.04</v>
      </c>
      <c r="M6" s="17">
        <v>1.5</v>
      </c>
      <c r="N6" s="17">
        <v>0</v>
      </c>
      <c r="O6" s="18">
        <f>J6*K6+L6*الافتراضات!$B$3+M6+N6</f>
        <v>31.5</v>
      </c>
      <c r="P6" s="18">
        <f>O6*الافتراضات!$B$7</f>
        <v>1.26</v>
      </c>
      <c r="Q6" s="18">
        <f>G6*الافتراضات!$B$4</f>
        <v>2.4750000000000001</v>
      </c>
      <c r="R6" s="18">
        <f>G6*الافتراضات!$B$5</f>
        <v>4.95</v>
      </c>
      <c r="S6" s="18">
        <f t="shared" si="0"/>
        <v>40.185000000000002</v>
      </c>
      <c r="T6" s="19">
        <f t="shared" si="1"/>
        <v>0.59409090909090911</v>
      </c>
      <c r="U6" s="19">
        <f t="shared" si="2"/>
        <v>0.64409090909090905</v>
      </c>
      <c r="V6" s="18">
        <f>(O6+P6)/((1-الافتراضات!$B$4-الافتراضات!$B$5)*(1-الافتراضات!$B$6))</f>
        <v>70.832432432432427</v>
      </c>
      <c r="W6" s="19">
        <f t="shared" si="3"/>
        <v>0.28452088452088459</v>
      </c>
      <c r="X6" s="7" t="s">
        <v>115</v>
      </c>
      <c r="Y6" s="7" t="s">
        <v>116</v>
      </c>
      <c r="Z6" s="7" t="s">
        <v>143</v>
      </c>
      <c r="AA6" s="7" t="s">
        <v>144</v>
      </c>
      <c r="AB6" s="7" t="s">
        <v>145</v>
      </c>
      <c r="AC6" s="7" t="s">
        <v>146</v>
      </c>
      <c r="AD6" s="7" t="s">
        <v>147</v>
      </c>
      <c r="AE6" s="7" t="s">
        <v>148</v>
      </c>
      <c r="AF6" s="7" t="s">
        <v>122</v>
      </c>
      <c r="AG6" s="7" t="s">
        <v>98</v>
      </c>
      <c r="AH6" s="7" t="s">
        <v>99</v>
      </c>
      <c r="AI6" s="7" t="s">
        <v>100</v>
      </c>
      <c r="AJ6" s="7" t="s">
        <v>149</v>
      </c>
      <c r="AK6" s="7">
        <v>85</v>
      </c>
      <c r="AL6" s="7" t="s">
        <v>102</v>
      </c>
      <c r="AM6" s="4" t="s">
        <v>25</v>
      </c>
    </row>
    <row r="7" spans="1:39" ht="54" customHeight="1" x14ac:dyDescent="0.2">
      <c r="A7" s="6">
        <v>6</v>
      </c>
      <c r="B7" s="6" t="s">
        <v>24</v>
      </c>
      <c r="C7" s="6" t="s">
        <v>150</v>
      </c>
      <c r="D7" s="6" t="s">
        <v>150</v>
      </c>
      <c r="E7" s="7" t="s">
        <v>151</v>
      </c>
      <c r="F7" s="7" t="s">
        <v>152</v>
      </c>
      <c r="G7" s="17">
        <v>39</v>
      </c>
      <c r="H7" s="17">
        <v>20</v>
      </c>
      <c r="I7" s="17">
        <v>100</v>
      </c>
      <c r="J7" s="8">
        <v>0.2</v>
      </c>
      <c r="K7" s="17">
        <v>35</v>
      </c>
      <c r="L7" s="8">
        <v>0.01</v>
      </c>
      <c r="M7" s="17">
        <v>0.5</v>
      </c>
      <c r="N7" s="17">
        <v>0</v>
      </c>
      <c r="O7" s="18">
        <f>J7*K7+L7*الافتراضات!$B$3+M7+N7</f>
        <v>9.5</v>
      </c>
      <c r="P7" s="18">
        <f>O7*الافتراضات!$B$7</f>
        <v>0.38</v>
      </c>
      <c r="Q7" s="18">
        <f>G7*الافتراضات!$B$4</f>
        <v>0.97500000000000009</v>
      </c>
      <c r="R7" s="18">
        <f>G7*الافتراضات!$B$5</f>
        <v>1.9500000000000002</v>
      </c>
      <c r="S7" s="18">
        <f t="shared" si="0"/>
        <v>12.805</v>
      </c>
      <c r="T7" s="19">
        <f t="shared" si="1"/>
        <v>0.67166666666666663</v>
      </c>
      <c r="U7" s="19">
        <f t="shared" si="2"/>
        <v>0.72166666666666668</v>
      </c>
      <c r="V7" s="18">
        <f>(O7+P7)/((1-الافتراضات!$B$4-الافتراضات!$B$5)*(1-الافتراضات!$B$6))</f>
        <v>21.362162162162164</v>
      </c>
      <c r="W7" s="19">
        <f t="shared" si="3"/>
        <v>0.45225225225225218</v>
      </c>
      <c r="X7" s="7" t="s">
        <v>153</v>
      </c>
      <c r="Y7" s="7" t="s">
        <v>116</v>
      </c>
      <c r="Z7" s="7" t="s">
        <v>154</v>
      </c>
      <c r="AA7" s="7" t="s">
        <v>155</v>
      </c>
      <c r="AB7" s="7" t="s">
        <v>156</v>
      </c>
      <c r="AC7" s="7" t="s">
        <v>157</v>
      </c>
      <c r="AD7" s="7" t="s">
        <v>158</v>
      </c>
      <c r="AE7" s="7" t="s">
        <v>159</v>
      </c>
      <c r="AF7" s="7" t="s">
        <v>160</v>
      </c>
      <c r="AG7" s="7" t="s">
        <v>98</v>
      </c>
      <c r="AH7" s="7" t="s">
        <v>99</v>
      </c>
      <c r="AI7" s="7" t="s">
        <v>100</v>
      </c>
      <c r="AJ7" s="7" t="s">
        <v>161</v>
      </c>
      <c r="AK7" s="7">
        <v>82</v>
      </c>
      <c r="AL7" s="7" t="s">
        <v>110</v>
      </c>
      <c r="AM7" s="4" t="s">
        <v>25</v>
      </c>
    </row>
    <row r="8" spans="1:39" ht="54" customHeight="1" x14ac:dyDescent="0.2">
      <c r="A8" s="6">
        <v>7</v>
      </c>
      <c r="B8" s="6" t="s">
        <v>24</v>
      </c>
      <c r="C8" s="6" t="s">
        <v>162</v>
      </c>
      <c r="D8" s="6" t="s">
        <v>162</v>
      </c>
      <c r="E8" s="7" t="s">
        <v>141</v>
      </c>
      <c r="F8" s="7" t="s">
        <v>163</v>
      </c>
      <c r="G8" s="17">
        <v>49</v>
      </c>
      <c r="H8" s="17">
        <v>25</v>
      </c>
      <c r="I8" s="17">
        <v>120</v>
      </c>
      <c r="J8" s="8">
        <v>0.25</v>
      </c>
      <c r="K8" s="17">
        <v>35</v>
      </c>
      <c r="L8" s="8">
        <v>0.01</v>
      </c>
      <c r="M8" s="17">
        <v>0.5</v>
      </c>
      <c r="N8" s="17">
        <v>0</v>
      </c>
      <c r="O8" s="18">
        <f>J8*K8+L8*الافتراضات!$B$3+M8+N8</f>
        <v>11.25</v>
      </c>
      <c r="P8" s="18">
        <f>O8*الافتراضات!$B$7</f>
        <v>0.45</v>
      </c>
      <c r="Q8" s="18">
        <f>G8*الافتراضات!$B$4</f>
        <v>1.2250000000000001</v>
      </c>
      <c r="R8" s="18">
        <f>G8*الافتراضات!$B$5</f>
        <v>2.4500000000000002</v>
      </c>
      <c r="S8" s="18">
        <f t="shared" si="0"/>
        <v>15.375</v>
      </c>
      <c r="T8" s="19">
        <f t="shared" si="1"/>
        <v>0.68622448979591832</v>
      </c>
      <c r="U8" s="19">
        <f t="shared" si="2"/>
        <v>0.73622448979591848</v>
      </c>
      <c r="V8" s="18">
        <f>(O8+P8)/((1-الافتراضات!$B$4-الافتراضات!$B$5)*(1-الافتراضات!$B$6))</f>
        <v>25.297297297297298</v>
      </c>
      <c r="W8" s="19">
        <f t="shared" si="3"/>
        <v>0.48372862658576943</v>
      </c>
      <c r="X8" s="7" t="s">
        <v>153</v>
      </c>
      <c r="Y8" s="7" t="s">
        <v>90</v>
      </c>
      <c r="Z8" s="7" t="s">
        <v>164</v>
      </c>
      <c r="AA8" s="7" t="s">
        <v>165</v>
      </c>
      <c r="AB8" s="7" t="s">
        <v>166</v>
      </c>
      <c r="AC8" s="7" t="s">
        <v>167</v>
      </c>
      <c r="AD8" s="7" t="s">
        <v>158</v>
      </c>
      <c r="AE8" s="7" t="s">
        <v>168</v>
      </c>
      <c r="AF8" s="7" t="s">
        <v>160</v>
      </c>
      <c r="AG8" s="7" t="s">
        <v>98</v>
      </c>
      <c r="AH8" s="7" t="s">
        <v>99</v>
      </c>
      <c r="AI8" s="7" t="s">
        <v>100</v>
      </c>
      <c r="AJ8" s="7" t="s">
        <v>169</v>
      </c>
      <c r="AK8" s="7">
        <v>82</v>
      </c>
      <c r="AL8" s="7" t="s">
        <v>110</v>
      </c>
      <c r="AM8" s="4" t="s">
        <v>25</v>
      </c>
    </row>
    <row r="9" spans="1:39" ht="54" customHeight="1" x14ac:dyDescent="0.2">
      <c r="A9" s="6">
        <v>8</v>
      </c>
      <c r="B9" s="6" t="s">
        <v>24</v>
      </c>
      <c r="C9" s="6" t="s">
        <v>170</v>
      </c>
      <c r="D9" s="6" t="s">
        <v>170</v>
      </c>
      <c r="E9" s="7" t="s">
        <v>171</v>
      </c>
      <c r="F9" s="7" t="s">
        <v>172</v>
      </c>
      <c r="G9" s="17">
        <v>199</v>
      </c>
      <c r="H9" s="17">
        <v>180</v>
      </c>
      <c r="I9" s="17">
        <v>700</v>
      </c>
      <c r="J9" s="8">
        <v>1.1499999999999999</v>
      </c>
      <c r="K9" s="17">
        <v>40</v>
      </c>
      <c r="L9" s="8">
        <v>0.08</v>
      </c>
      <c r="M9" s="17">
        <v>2</v>
      </c>
      <c r="N9" s="17">
        <v>0</v>
      </c>
      <c r="O9" s="18">
        <f>J9*K9+L9*الافتراضات!$B$3+M9+N9</f>
        <v>64</v>
      </c>
      <c r="P9" s="18">
        <f>O9*الافتراضات!$B$7</f>
        <v>2.56</v>
      </c>
      <c r="Q9" s="18">
        <f>G9*الافتراضات!$B$4</f>
        <v>4.9750000000000005</v>
      </c>
      <c r="R9" s="18">
        <f>G9*الافتراضات!$B$5</f>
        <v>9.9500000000000011</v>
      </c>
      <c r="S9" s="18">
        <f t="shared" si="0"/>
        <v>81.484999999999999</v>
      </c>
      <c r="T9" s="19">
        <f t="shared" si="1"/>
        <v>0.59052763819095477</v>
      </c>
      <c r="U9" s="19">
        <f t="shared" si="2"/>
        <v>0.64052763819095482</v>
      </c>
      <c r="V9" s="18">
        <f>(O9+P9)/((1-الافتراضات!$B$4-الافتراضات!$B$5)*(1-الافتراضات!$B$6))</f>
        <v>143.91351351351352</v>
      </c>
      <c r="W9" s="19">
        <f t="shared" si="3"/>
        <v>0.27681651500746973</v>
      </c>
      <c r="X9" s="7" t="s">
        <v>173</v>
      </c>
      <c r="Y9" s="7" t="s">
        <v>174</v>
      </c>
      <c r="Z9" s="7" t="s">
        <v>175</v>
      </c>
      <c r="AA9" s="7" t="s">
        <v>143</v>
      </c>
      <c r="AB9" s="7" t="s">
        <v>176</v>
      </c>
      <c r="AC9" s="7" t="s">
        <v>177</v>
      </c>
      <c r="AD9" s="7" t="s">
        <v>178</v>
      </c>
      <c r="AE9" s="7" t="s">
        <v>179</v>
      </c>
      <c r="AF9" s="7" t="s">
        <v>180</v>
      </c>
      <c r="AG9" s="7" t="s">
        <v>136</v>
      </c>
      <c r="AH9" s="7" t="s">
        <v>99</v>
      </c>
      <c r="AI9" s="7" t="s">
        <v>100</v>
      </c>
      <c r="AJ9" s="7" t="s">
        <v>181</v>
      </c>
      <c r="AK9" s="7">
        <v>83</v>
      </c>
      <c r="AL9" s="7" t="s">
        <v>110</v>
      </c>
      <c r="AM9" s="4" t="s">
        <v>25</v>
      </c>
    </row>
    <row r="10" spans="1:39" ht="54" customHeight="1" x14ac:dyDescent="0.2">
      <c r="A10" s="9">
        <v>9</v>
      </c>
      <c r="B10" s="9" t="s">
        <v>26</v>
      </c>
      <c r="C10" s="9" t="s">
        <v>182</v>
      </c>
      <c r="D10" s="9" t="s">
        <v>183</v>
      </c>
      <c r="E10" s="7" t="s">
        <v>184</v>
      </c>
      <c r="F10" s="7" t="s">
        <v>185</v>
      </c>
      <c r="G10" s="17">
        <v>299</v>
      </c>
      <c r="H10" s="17">
        <v>300</v>
      </c>
      <c r="I10" s="17">
        <v>1500</v>
      </c>
      <c r="J10" s="8">
        <v>1.5</v>
      </c>
      <c r="K10" s="17">
        <v>45</v>
      </c>
      <c r="L10" s="8">
        <v>0.1</v>
      </c>
      <c r="M10" s="17">
        <v>3</v>
      </c>
      <c r="N10" s="17">
        <v>0</v>
      </c>
      <c r="O10" s="18">
        <f>J10*K10+L10*الافتراضات!$B$3+M10+N10</f>
        <v>90.5</v>
      </c>
      <c r="P10" s="18">
        <f>O10*الافتراضات!$B$7</f>
        <v>3.62</v>
      </c>
      <c r="Q10" s="18">
        <f>G10*الافتراضات!$B$4</f>
        <v>7.4750000000000005</v>
      </c>
      <c r="R10" s="18">
        <f>G10*الافتراضات!$B$5</f>
        <v>14.950000000000001</v>
      </c>
      <c r="S10" s="18">
        <f t="shared" si="0"/>
        <v>116.545</v>
      </c>
      <c r="T10" s="19">
        <f t="shared" si="1"/>
        <v>0.61021739130434782</v>
      </c>
      <c r="U10" s="19">
        <f t="shared" si="2"/>
        <v>0.66021739130434787</v>
      </c>
      <c r="V10" s="18">
        <f>(O10+P10)/((1-الافتراضات!$B$4-الافتراضات!$B$5)*(1-الافتراضات!$B$6))</f>
        <v>203.50270270270272</v>
      </c>
      <c r="W10" s="19">
        <f t="shared" si="3"/>
        <v>0.31938895417156282</v>
      </c>
      <c r="X10" s="7" t="s">
        <v>105</v>
      </c>
      <c r="Y10" s="7" t="s">
        <v>186</v>
      </c>
      <c r="Z10" s="7" t="s">
        <v>187</v>
      </c>
      <c r="AA10" s="7" t="s">
        <v>188</v>
      </c>
      <c r="AB10" s="7" t="s">
        <v>189</v>
      </c>
      <c r="AC10" s="7" t="s">
        <v>190</v>
      </c>
      <c r="AD10" s="7" t="s">
        <v>120</v>
      </c>
      <c r="AE10" s="7" t="s">
        <v>191</v>
      </c>
      <c r="AF10" s="7" t="s">
        <v>180</v>
      </c>
      <c r="AG10" s="7" t="s">
        <v>98</v>
      </c>
      <c r="AH10" s="7" t="s">
        <v>137</v>
      </c>
      <c r="AI10" s="7" t="s">
        <v>192</v>
      </c>
      <c r="AJ10" s="7" t="s">
        <v>193</v>
      </c>
      <c r="AK10" s="7">
        <v>81</v>
      </c>
      <c r="AL10" s="7" t="s">
        <v>110</v>
      </c>
      <c r="AM10" s="4" t="s">
        <v>27</v>
      </c>
    </row>
    <row r="11" spans="1:39" ht="54" customHeight="1" x14ac:dyDescent="0.2">
      <c r="A11" s="9">
        <v>10</v>
      </c>
      <c r="B11" s="9" t="s">
        <v>26</v>
      </c>
      <c r="C11" s="9" t="s">
        <v>194</v>
      </c>
      <c r="D11" s="9" t="s">
        <v>195</v>
      </c>
      <c r="E11" s="7" t="s">
        <v>196</v>
      </c>
      <c r="F11" s="7" t="s">
        <v>197</v>
      </c>
      <c r="G11" s="17">
        <v>149</v>
      </c>
      <c r="H11" s="17">
        <v>150</v>
      </c>
      <c r="I11" s="17">
        <v>800</v>
      </c>
      <c r="J11" s="8">
        <v>0.75</v>
      </c>
      <c r="K11" s="17">
        <v>45</v>
      </c>
      <c r="L11" s="8">
        <v>0.05</v>
      </c>
      <c r="M11" s="17">
        <v>2</v>
      </c>
      <c r="N11" s="17">
        <v>0</v>
      </c>
      <c r="O11" s="18">
        <f>J11*K11+L11*الافتراضات!$B$3+M11+N11</f>
        <v>45.75</v>
      </c>
      <c r="P11" s="18">
        <f>O11*الافتراضات!$B$7</f>
        <v>1.83</v>
      </c>
      <c r="Q11" s="18">
        <f>G11*الافتراضات!$B$4</f>
        <v>3.7250000000000001</v>
      </c>
      <c r="R11" s="18">
        <f>G11*الافتراضات!$B$5</f>
        <v>7.45</v>
      </c>
      <c r="S11" s="18">
        <f t="shared" si="0"/>
        <v>58.755000000000003</v>
      </c>
      <c r="T11" s="19">
        <f t="shared" si="1"/>
        <v>0.6056711409395974</v>
      </c>
      <c r="U11" s="19">
        <f t="shared" si="2"/>
        <v>0.65567114093959722</v>
      </c>
      <c r="V11" s="18">
        <f>(O11+P11)/((1-الافتراضات!$B$4-الافتراضات!$B$5)*(1-الافتراضات!$B$6))</f>
        <v>102.87567567567568</v>
      </c>
      <c r="W11" s="19">
        <f t="shared" si="3"/>
        <v>0.30955922365318334</v>
      </c>
      <c r="X11" s="7" t="s">
        <v>153</v>
      </c>
      <c r="Y11" s="7" t="s">
        <v>198</v>
      </c>
      <c r="Z11" s="7" t="s">
        <v>199</v>
      </c>
      <c r="AA11" s="7" t="s">
        <v>200</v>
      </c>
      <c r="AB11" s="7" t="s">
        <v>201</v>
      </c>
      <c r="AC11" s="7" t="s">
        <v>202</v>
      </c>
      <c r="AD11" s="7" t="s">
        <v>203</v>
      </c>
      <c r="AE11" s="7" t="s">
        <v>204</v>
      </c>
      <c r="AF11" s="7" t="s">
        <v>122</v>
      </c>
      <c r="AG11" s="7" t="s">
        <v>98</v>
      </c>
      <c r="AH11" s="7" t="s">
        <v>99</v>
      </c>
      <c r="AI11" s="7" t="s">
        <v>192</v>
      </c>
      <c r="AJ11" s="7" t="s">
        <v>205</v>
      </c>
      <c r="AK11" s="7">
        <v>82</v>
      </c>
      <c r="AL11" s="7" t="s">
        <v>110</v>
      </c>
      <c r="AM11" s="4" t="s">
        <v>27</v>
      </c>
    </row>
    <row r="12" spans="1:39" ht="54" customHeight="1" x14ac:dyDescent="0.2">
      <c r="A12" s="9">
        <v>11</v>
      </c>
      <c r="B12" s="9" t="s">
        <v>26</v>
      </c>
      <c r="C12" s="9" t="s">
        <v>206</v>
      </c>
      <c r="D12" s="9" t="s">
        <v>206</v>
      </c>
      <c r="E12" s="7" t="s">
        <v>207</v>
      </c>
      <c r="F12" s="7" t="s">
        <v>208</v>
      </c>
      <c r="G12" s="17">
        <v>399</v>
      </c>
      <c r="H12" s="17">
        <v>500</v>
      </c>
      <c r="I12" s="17">
        <v>2000</v>
      </c>
      <c r="J12" s="8">
        <v>2.2000000000000002</v>
      </c>
      <c r="K12" s="17">
        <v>40</v>
      </c>
      <c r="L12" s="8">
        <v>0.1</v>
      </c>
      <c r="M12" s="17">
        <v>5</v>
      </c>
      <c r="N12" s="17">
        <v>0</v>
      </c>
      <c r="O12" s="18">
        <f>J12*K12+L12*الافتراضات!$B$3+M12+N12</f>
        <v>113</v>
      </c>
      <c r="P12" s="18">
        <f>O12*الافتراضات!$B$7</f>
        <v>4.5200000000000005</v>
      </c>
      <c r="Q12" s="18">
        <f>G12*الافتراضات!$B$4</f>
        <v>9.9750000000000014</v>
      </c>
      <c r="R12" s="18">
        <f>G12*الافتراضات!$B$5</f>
        <v>19.950000000000003</v>
      </c>
      <c r="S12" s="18">
        <f t="shared" si="0"/>
        <v>147.44499999999999</v>
      </c>
      <c r="T12" s="19">
        <f t="shared" si="1"/>
        <v>0.63046365914786973</v>
      </c>
      <c r="U12" s="19">
        <f t="shared" si="2"/>
        <v>0.68046365914786966</v>
      </c>
      <c r="V12" s="18">
        <f>(O12+P12)/((1-الافتراضات!$B$4-الافتراضات!$B$5)*(1-الافتراضات!$B$6))</f>
        <v>254.0972972972973</v>
      </c>
      <c r="W12" s="19">
        <f t="shared" si="3"/>
        <v>0.3631646684278263</v>
      </c>
      <c r="X12" s="7" t="s">
        <v>105</v>
      </c>
      <c r="Y12" s="7" t="s">
        <v>209</v>
      </c>
      <c r="Z12" s="7" t="s">
        <v>210</v>
      </c>
      <c r="AA12" s="7" t="s">
        <v>211</v>
      </c>
      <c r="AB12" s="7" t="s">
        <v>212</v>
      </c>
      <c r="AC12" s="7" t="s">
        <v>213</v>
      </c>
      <c r="AD12" s="7" t="s">
        <v>214</v>
      </c>
      <c r="AE12" s="7" t="s">
        <v>215</v>
      </c>
      <c r="AF12" s="7" t="s">
        <v>216</v>
      </c>
      <c r="AG12" s="7" t="s">
        <v>136</v>
      </c>
      <c r="AH12" s="7" t="s">
        <v>137</v>
      </c>
      <c r="AI12" s="7" t="s">
        <v>217</v>
      </c>
      <c r="AJ12" s="7" t="s">
        <v>218</v>
      </c>
      <c r="AK12" s="7">
        <v>80</v>
      </c>
      <c r="AL12" s="7" t="s">
        <v>110</v>
      </c>
      <c r="AM12" s="4" t="s">
        <v>27</v>
      </c>
    </row>
    <row r="13" spans="1:39" ht="54" customHeight="1" x14ac:dyDescent="0.2">
      <c r="A13" s="9">
        <v>12</v>
      </c>
      <c r="B13" s="9" t="s">
        <v>26</v>
      </c>
      <c r="C13" s="9" t="s">
        <v>219</v>
      </c>
      <c r="D13" s="9" t="s">
        <v>219</v>
      </c>
      <c r="E13" s="7" t="s">
        <v>220</v>
      </c>
      <c r="F13" s="7" t="s">
        <v>221</v>
      </c>
      <c r="G13" s="17">
        <v>790</v>
      </c>
      <c r="H13" s="17">
        <v>1500</v>
      </c>
      <c r="I13" s="17">
        <v>5500</v>
      </c>
      <c r="J13" s="8">
        <v>4</v>
      </c>
      <c r="K13" s="17">
        <v>45</v>
      </c>
      <c r="L13" s="8">
        <v>0.2</v>
      </c>
      <c r="M13" s="17">
        <v>8</v>
      </c>
      <c r="N13" s="17">
        <v>0</v>
      </c>
      <c r="O13" s="18">
        <f>J13*K13+L13*الافتراضات!$B$3+M13+N13</f>
        <v>228</v>
      </c>
      <c r="P13" s="18">
        <f>O13*الافتراضات!$B$7</f>
        <v>9.120000000000001</v>
      </c>
      <c r="Q13" s="18">
        <f>G13*الافتراضات!$B$4</f>
        <v>19.75</v>
      </c>
      <c r="R13" s="18">
        <f>G13*الافتراضات!$B$5</f>
        <v>39.5</v>
      </c>
      <c r="S13" s="18">
        <f t="shared" si="0"/>
        <v>296.37</v>
      </c>
      <c r="T13" s="19">
        <f t="shared" si="1"/>
        <v>0.6248481012658228</v>
      </c>
      <c r="U13" s="19">
        <f t="shared" si="2"/>
        <v>0.67484810126582273</v>
      </c>
      <c r="V13" s="18">
        <f>(O13+P13)/((1-الافتراضات!$B$4-الافتراضات!$B$5)*(1-الافتراضات!$B$6))</f>
        <v>512.69189189189194</v>
      </c>
      <c r="W13" s="19">
        <f t="shared" si="3"/>
        <v>0.35102292165583299</v>
      </c>
      <c r="X13" s="7" t="s">
        <v>115</v>
      </c>
      <c r="Y13" s="7" t="s">
        <v>222</v>
      </c>
      <c r="Z13" s="7" t="s">
        <v>223</v>
      </c>
      <c r="AA13" s="7" t="s">
        <v>224</v>
      </c>
      <c r="AB13" s="7" t="s">
        <v>225</v>
      </c>
      <c r="AC13" s="7" t="s">
        <v>226</v>
      </c>
      <c r="AD13" s="7" t="s">
        <v>227</v>
      </c>
      <c r="AE13" s="7" t="s">
        <v>228</v>
      </c>
      <c r="AF13" s="7" t="s">
        <v>229</v>
      </c>
      <c r="AG13" s="7" t="s">
        <v>136</v>
      </c>
      <c r="AH13" s="7" t="s">
        <v>137</v>
      </c>
      <c r="AI13" s="7" t="s">
        <v>217</v>
      </c>
      <c r="AJ13" s="7" t="s">
        <v>230</v>
      </c>
      <c r="AK13" s="7">
        <v>80</v>
      </c>
      <c r="AL13" s="7" t="s">
        <v>110</v>
      </c>
      <c r="AM13" s="4" t="s">
        <v>27</v>
      </c>
    </row>
    <row r="14" spans="1:39" ht="54" customHeight="1" x14ac:dyDescent="0.2">
      <c r="A14" s="9">
        <v>13</v>
      </c>
      <c r="B14" s="9" t="s">
        <v>26</v>
      </c>
      <c r="C14" s="9" t="s">
        <v>231</v>
      </c>
      <c r="D14" s="9" t="s">
        <v>231</v>
      </c>
      <c r="E14" s="7" t="s">
        <v>184</v>
      </c>
      <c r="F14" s="7" t="s">
        <v>232</v>
      </c>
      <c r="G14" s="17">
        <v>1490</v>
      </c>
      <c r="H14" s="17">
        <v>1959</v>
      </c>
      <c r="I14" s="17">
        <v>8000</v>
      </c>
      <c r="J14" s="8">
        <v>7</v>
      </c>
      <c r="K14" s="17">
        <v>45</v>
      </c>
      <c r="L14" s="8">
        <v>0.35</v>
      </c>
      <c r="M14" s="17">
        <v>12</v>
      </c>
      <c r="N14" s="17">
        <v>0</v>
      </c>
      <c r="O14" s="18">
        <f>J14*K14+L14*الافتراضات!$B$3+M14+N14</f>
        <v>397</v>
      </c>
      <c r="P14" s="18">
        <f>O14*الافتراضات!$B$7</f>
        <v>15.88</v>
      </c>
      <c r="Q14" s="18">
        <f>G14*الافتراضات!$B$4</f>
        <v>37.25</v>
      </c>
      <c r="R14" s="18">
        <f>G14*الافتراضات!$B$5</f>
        <v>74.5</v>
      </c>
      <c r="S14" s="18">
        <f t="shared" si="0"/>
        <v>524.63</v>
      </c>
      <c r="T14" s="19">
        <f t="shared" si="1"/>
        <v>0.64789932885906043</v>
      </c>
      <c r="U14" s="19">
        <f t="shared" si="2"/>
        <v>0.69789932885906036</v>
      </c>
      <c r="V14" s="18">
        <f>(O14+P14)/((1-الافتراضات!$B$4-الافتراضات!$B$5)*(1-الافتراضات!$B$6))</f>
        <v>892.71351351351359</v>
      </c>
      <c r="W14" s="19">
        <f t="shared" si="3"/>
        <v>0.40086341374931972</v>
      </c>
      <c r="X14" s="7" t="s">
        <v>127</v>
      </c>
      <c r="Y14" s="7" t="s">
        <v>233</v>
      </c>
      <c r="Z14" s="7" t="s">
        <v>234</v>
      </c>
      <c r="AA14" s="7" t="s">
        <v>235</v>
      </c>
      <c r="AB14" s="7" t="s">
        <v>236</v>
      </c>
      <c r="AC14" s="7" t="s">
        <v>237</v>
      </c>
      <c r="AD14" s="7" t="s">
        <v>238</v>
      </c>
      <c r="AE14" s="7" t="s">
        <v>239</v>
      </c>
      <c r="AF14" s="7" t="s">
        <v>240</v>
      </c>
      <c r="AG14" s="7" t="s">
        <v>136</v>
      </c>
      <c r="AH14" s="7" t="s">
        <v>137</v>
      </c>
      <c r="AI14" s="7" t="s">
        <v>217</v>
      </c>
      <c r="AJ14" s="7" t="s">
        <v>241</v>
      </c>
      <c r="AK14" s="7">
        <v>78</v>
      </c>
      <c r="AL14" s="7" t="s">
        <v>110</v>
      </c>
      <c r="AM14" s="4" t="s">
        <v>27</v>
      </c>
    </row>
    <row r="15" spans="1:39" ht="54" customHeight="1" x14ac:dyDescent="0.2">
      <c r="A15" s="9">
        <v>14</v>
      </c>
      <c r="B15" s="9" t="s">
        <v>26</v>
      </c>
      <c r="C15" s="9" t="s">
        <v>242</v>
      </c>
      <c r="D15" s="9" t="s">
        <v>242</v>
      </c>
      <c r="E15" s="7" t="s">
        <v>243</v>
      </c>
      <c r="F15" s="7" t="s">
        <v>244</v>
      </c>
      <c r="G15" s="17">
        <v>2990</v>
      </c>
      <c r="H15" s="17">
        <v>2500</v>
      </c>
      <c r="I15" s="17">
        <v>18000</v>
      </c>
      <c r="J15" s="8">
        <v>14</v>
      </c>
      <c r="K15" s="17">
        <v>45</v>
      </c>
      <c r="L15" s="8">
        <v>0.7</v>
      </c>
      <c r="M15" s="17">
        <v>20</v>
      </c>
      <c r="N15" s="17">
        <v>0</v>
      </c>
      <c r="O15" s="18">
        <f>J15*K15+L15*الافتراضات!$B$3+M15+N15</f>
        <v>790</v>
      </c>
      <c r="P15" s="18">
        <f>O15*الافتراضات!$B$7</f>
        <v>31.6</v>
      </c>
      <c r="Q15" s="18">
        <f>G15*الافتراضات!$B$4</f>
        <v>74.75</v>
      </c>
      <c r="R15" s="18">
        <f>G15*الافتراضات!$B$5</f>
        <v>149.5</v>
      </c>
      <c r="S15" s="18">
        <f t="shared" si="0"/>
        <v>1045.8499999999999</v>
      </c>
      <c r="T15" s="19">
        <f t="shared" si="1"/>
        <v>0.65021739130434786</v>
      </c>
      <c r="U15" s="19">
        <f t="shared" si="2"/>
        <v>0.7002173913043479</v>
      </c>
      <c r="V15" s="18">
        <f>(O15+P15)/((1-الافتراضات!$B$4-الافتراضات!$B$5)*(1-الافتراضات!$B$6))</f>
        <v>1776.4324324324325</v>
      </c>
      <c r="W15" s="19">
        <f t="shared" si="3"/>
        <v>0.40587544065804931</v>
      </c>
      <c r="X15" s="7" t="s">
        <v>127</v>
      </c>
      <c r="Y15" s="7" t="s">
        <v>245</v>
      </c>
      <c r="Z15" s="7" t="s">
        <v>246</v>
      </c>
      <c r="AA15" s="7" t="s">
        <v>210</v>
      </c>
      <c r="AB15" s="7" t="s">
        <v>247</v>
      </c>
      <c r="AC15" s="7" t="s">
        <v>248</v>
      </c>
      <c r="AD15" s="7" t="s">
        <v>227</v>
      </c>
      <c r="AE15" s="7" t="s">
        <v>249</v>
      </c>
      <c r="AF15" s="7" t="s">
        <v>250</v>
      </c>
      <c r="AG15" s="7" t="s">
        <v>136</v>
      </c>
      <c r="AH15" s="7" t="s">
        <v>137</v>
      </c>
      <c r="AI15" s="7" t="s">
        <v>217</v>
      </c>
      <c r="AJ15" s="7" t="s">
        <v>251</v>
      </c>
      <c r="AK15" s="7">
        <v>78</v>
      </c>
      <c r="AL15" s="7" t="s">
        <v>110</v>
      </c>
      <c r="AM15" s="4" t="s">
        <v>27</v>
      </c>
    </row>
    <row r="16" spans="1:39" ht="54" customHeight="1" x14ac:dyDescent="0.2">
      <c r="A16" s="9">
        <v>15</v>
      </c>
      <c r="B16" s="9" t="s">
        <v>26</v>
      </c>
      <c r="C16" s="9" t="s">
        <v>252</v>
      </c>
      <c r="D16" s="9" t="s">
        <v>252</v>
      </c>
      <c r="E16" s="7" t="s">
        <v>253</v>
      </c>
      <c r="F16" s="7" t="s">
        <v>254</v>
      </c>
      <c r="G16" s="17">
        <v>4990</v>
      </c>
      <c r="H16" s="17">
        <v>8000</v>
      </c>
      <c r="I16" s="17">
        <v>35000</v>
      </c>
      <c r="J16" s="8">
        <v>22</v>
      </c>
      <c r="K16" s="17">
        <v>55</v>
      </c>
      <c r="L16" s="8">
        <v>1.25</v>
      </c>
      <c r="M16" s="17">
        <v>30</v>
      </c>
      <c r="N16" s="17">
        <v>0</v>
      </c>
      <c r="O16" s="18">
        <f>J16*K16+L16*الافتراضات!$B$3+M16+N16</f>
        <v>1490</v>
      </c>
      <c r="P16" s="18">
        <f>O16*الافتراضات!$B$7</f>
        <v>59.6</v>
      </c>
      <c r="Q16" s="18">
        <f>G16*الافتراضات!$B$4</f>
        <v>124.75</v>
      </c>
      <c r="R16" s="18">
        <f>G16*الافتراضات!$B$5</f>
        <v>249.5</v>
      </c>
      <c r="S16" s="18">
        <f t="shared" si="0"/>
        <v>1923.85</v>
      </c>
      <c r="T16" s="19">
        <f t="shared" si="1"/>
        <v>0.61445891783567141</v>
      </c>
      <c r="U16" s="19">
        <f t="shared" si="2"/>
        <v>0.66445891783567135</v>
      </c>
      <c r="V16" s="18">
        <f>(O16+P16)/((1-الافتراضات!$B$4-الافتراضات!$B$5)*(1-الافتراضات!$B$6))</f>
        <v>3350.4864864864867</v>
      </c>
      <c r="W16" s="19">
        <f t="shared" si="3"/>
        <v>0.32855982234739745</v>
      </c>
      <c r="X16" s="7" t="s">
        <v>255</v>
      </c>
      <c r="Y16" s="7" t="s">
        <v>256</v>
      </c>
      <c r="Z16" s="7" t="s">
        <v>257</v>
      </c>
      <c r="AA16" s="7" t="s">
        <v>258</v>
      </c>
      <c r="AB16" s="7" t="s">
        <v>259</v>
      </c>
      <c r="AC16" s="7" t="s">
        <v>260</v>
      </c>
      <c r="AD16" s="7" t="s">
        <v>261</v>
      </c>
      <c r="AE16" s="7" t="s">
        <v>262</v>
      </c>
      <c r="AF16" s="7" t="s">
        <v>263</v>
      </c>
      <c r="AG16" s="7" t="s">
        <v>136</v>
      </c>
      <c r="AH16" s="7" t="s">
        <v>264</v>
      </c>
      <c r="AI16" s="7" t="s">
        <v>192</v>
      </c>
      <c r="AJ16" s="7" t="s">
        <v>265</v>
      </c>
      <c r="AK16" s="7">
        <v>73</v>
      </c>
      <c r="AL16" s="7" t="s">
        <v>110</v>
      </c>
      <c r="AM16" s="4" t="s">
        <v>27</v>
      </c>
    </row>
    <row r="17" spans="1:39" ht="54" customHeight="1" x14ac:dyDescent="0.2">
      <c r="A17" s="9">
        <v>16</v>
      </c>
      <c r="B17" s="9" t="s">
        <v>26</v>
      </c>
      <c r="C17" s="9" t="s">
        <v>266</v>
      </c>
      <c r="D17" s="9" t="s">
        <v>267</v>
      </c>
      <c r="E17" s="7" t="s">
        <v>268</v>
      </c>
      <c r="F17" s="7" t="s">
        <v>269</v>
      </c>
      <c r="G17" s="17">
        <v>690</v>
      </c>
      <c r="H17" s="17">
        <v>500</v>
      </c>
      <c r="I17" s="17">
        <v>3500</v>
      </c>
      <c r="J17" s="8">
        <v>3.5</v>
      </c>
      <c r="K17" s="17">
        <v>50</v>
      </c>
      <c r="L17" s="8">
        <v>0.2</v>
      </c>
      <c r="M17" s="17">
        <v>6</v>
      </c>
      <c r="N17" s="17">
        <v>0</v>
      </c>
      <c r="O17" s="18">
        <f>J17*K17+L17*الافتراضات!$B$3+M17+N17</f>
        <v>221</v>
      </c>
      <c r="P17" s="18">
        <f>O17*الافتراضات!$B$7</f>
        <v>8.84</v>
      </c>
      <c r="Q17" s="18">
        <f>G17*الافتراضات!$B$4</f>
        <v>17.25</v>
      </c>
      <c r="R17" s="18">
        <f>G17*الافتراضات!$B$5</f>
        <v>34.5</v>
      </c>
      <c r="S17" s="18">
        <f t="shared" si="0"/>
        <v>281.59000000000003</v>
      </c>
      <c r="T17" s="19">
        <f t="shared" si="1"/>
        <v>0.5918985507246376</v>
      </c>
      <c r="U17" s="19">
        <f t="shared" si="2"/>
        <v>0.64189855072463764</v>
      </c>
      <c r="V17" s="18">
        <f>(O17+P17)/((1-الافتراضات!$B$4-الافتراضات!$B$5)*(1-الافتراضات!$B$6))</f>
        <v>496.95135135135138</v>
      </c>
      <c r="W17" s="19">
        <f t="shared" si="3"/>
        <v>0.2797806502154328</v>
      </c>
      <c r="X17" s="7" t="s">
        <v>105</v>
      </c>
      <c r="Y17" s="7" t="s">
        <v>270</v>
      </c>
      <c r="Z17" s="7" t="s">
        <v>199</v>
      </c>
      <c r="AA17" s="7" t="s">
        <v>271</v>
      </c>
      <c r="AB17" s="7" t="s">
        <v>272</v>
      </c>
      <c r="AC17" s="7" t="s">
        <v>273</v>
      </c>
      <c r="AD17" s="7" t="s">
        <v>274</v>
      </c>
      <c r="AE17" s="7" t="s">
        <v>275</v>
      </c>
      <c r="AF17" s="7" t="s">
        <v>276</v>
      </c>
      <c r="AG17" s="7" t="s">
        <v>98</v>
      </c>
      <c r="AH17" s="7" t="s">
        <v>137</v>
      </c>
      <c r="AI17" s="7" t="s">
        <v>192</v>
      </c>
      <c r="AJ17" s="7" t="s">
        <v>277</v>
      </c>
      <c r="AK17" s="7">
        <v>81</v>
      </c>
      <c r="AL17" s="7" t="s">
        <v>110</v>
      </c>
      <c r="AM17" s="4" t="s">
        <v>27</v>
      </c>
    </row>
    <row r="18" spans="1:39" ht="54" customHeight="1" x14ac:dyDescent="0.2">
      <c r="A18" s="10">
        <v>17</v>
      </c>
      <c r="B18" s="10" t="s">
        <v>28</v>
      </c>
      <c r="C18" s="10" t="s">
        <v>278</v>
      </c>
      <c r="D18" s="10" t="s">
        <v>278</v>
      </c>
      <c r="E18" s="7" t="s">
        <v>279</v>
      </c>
      <c r="F18" s="7" t="s">
        <v>280</v>
      </c>
      <c r="G18" s="17">
        <v>59</v>
      </c>
      <c r="H18" s="17">
        <v>30</v>
      </c>
      <c r="I18" s="17">
        <v>200</v>
      </c>
      <c r="J18" s="8">
        <v>0.25</v>
      </c>
      <c r="K18" s="17">
        <v>35</v>
      </c>
      <c r="L18" s="8">
        <v>0.01</v>
      </c>
      <c r="M18" s="17">
        <v>0.8</v>
      </c>
      <c r="N18" s="17">
        <v>0</v>
      </c>
      <c r="O18" s="18">
        <f>J18*K18+L18*الافتراضات!$B$3+M18+N18</f>
        <v>11.55</v>
      </c>
      <c r="P18" s="18">
        <f>O18*الافتراضات!$B$7</f>
        <v>0.46200000000000002</v>
      </c>
      <c r="Q18" s="18">
        <f>G18*الافتراضات!$B$4</f>
        <v>1.4750000000000001</v>
      </c>
      <c r="R18" s="18">
        <f>G18*الافتراضات!$B$5</f>
        <v>2.95</v>
      </c>
      <c r="S18" s="18">
        <f t="shared" si="0"/>
        <v>16.437000000000001</v>
      </c>
      <c r="T18" s="19">
        <f t="shared" si="1"/>
        <v>0.72140677966101696</v>
      </c>
      <c r="U18" s="19">
        <f t="shared" si="2"/>
        <v>0.77140677966101689</v>
      </c>
      <c r="V18" s="18">
        <f>(O18+P18)/((1-الافتراضات!$B$4-الافتراضات!$B$5)*(1-الافتراضات!$B$6))</f>
        <v>25.971891891891893</v>
      </c>
      <c r="W18" s="19">
        <f t="shared" si="3"/>
        <v>0.55979844251030686</v>
      </c>
      <c r="X18" s="7" t="s">
        <v>89</v>
      </c>
      <c r="Y18" s="7" t="s">
        <v>281</v>
      </c>
      <c r="Z18" s="7" t="s">
        <v>282</v>
      </c>
      <c r="AA18" s="7" t="s">
        <v>283</v>
      </c>
      <c r="AB18" s="7" t="s">
        <v>284</v>
      </c>
      <c r="AC18" s="7" t="s">
        <v>285</v>
      </c>
      <c r="AD18" s="7" t="s">
        <v>238</v>
      </c>
      <c r="AE18" s="7" t="s">
        <v>286</v>
      </c>
      <c r="AF18" s="7" t="s">
        <v>160</v>
      </c>
      <c r="AG18" s="7" t="s">
        <v>98</v>
      </c>
      <c r="AH18" s="7" t="s">
        <v>99</v>
      </c>
      <c r="AI18" s="7" t="s">
        <v>217</v>
      </c>
      <c r="AJ18" s="7" t="s">
        <v>287</v>
      </c>
      <c r="AK18" s="7">
        <v>84</v>
      </c>
      <c r="AL18" s="7" t="s">
        <v>110</v>
      </c>
      <c r="AM18" s="4" t="s">
        <v>29</v>
      </c>
    </row>
    <row r="19" spans="1:39" ht="54" customHeight="1" x14ac:dyDescent="0.2">
      <c r="A19" s="10">
        <v>18</v>
      </c>
      <c r="B19" s="10" t="s">
        <v>28</v>
      </c>
      <c r="C19" s="10" t="s">
        <v>288</v>
      </c>
      <c r="D19" s="10" t="s">
        <v>289</v>
      </c>
      <c r="E19" s="7" t="s">
        <v>290</v>
      </c>
      <c r="F19" s="7" t="s">
        <v>291</v>
      </c>
      <c r="G19" s="17">
        <v>79</v>
      </c>
      <c r="H19" s="17">
        <v>50</v>
      </c>
      <c r="I19" s="17">
        <v>300</v>
      </c>
      <c r="J19" s="8">
        <v>0.35</v>
      </c>
      <c r="K19" s="17">
        <v>35</v>
      </c>
      <c r="L19" s="8">
        <v>0.02</v>
      </c>
      <c r="M19" s="17">
        <v>1</v>
      </c>
      <c r="N19" s="17">
        <v>0</v>
      </c>
      <c r="O19" s="18">
        <f>J19*K19+L19*الافتراضات!$B$3+M19+N19</f>
        <v>17.25</v>
      </c>
      <c r="P19" s="18">
        <f>O19*الافتراضات!$B$7</f>
        <v>0.69000000000000006</v>
      </c>
      <c r="Q19" s="18">
        <f>G19*الافتراضات!$B$4</f>
        <v>1.9750000000000001</v>
      </c>
      <c r="R19" s="18">
        <f>G19*الافتراضات!$B$5</f>
        <v>3.95</v>
      </c>
      <c r="S19" s="18">
        <f t="shared" si="0"/>
        <v>23.865000000000002</v>
      </c>
      <c r="T19" s="19">
        <f t="shared" si="1"/>
        <v>0.69791139240506328</v>
      </c>
      <c r="U19" s="19">
        <f t="shared" si="2"/>
        <v>0.74791139240506321</v>
      </c>
      <c r="V19" s="18">
        <f>(O19+P19)/((1-الافتراضات!$B$4-الافتراضات!$B$5)*(1-الافتراضات!$B$6))</f>
        <v>38.789189189189194</v>
      </c>
      <c r="W19" s="19">
        <f t="shared" si="3"/>
        <v>0.50899760520013682</v>
      </c>
      <c r="X19" s="7" t="s">
        <v>89</v>
      </c>
      <c r="Y19" s="7" t="s">
        <v>292</v>
      </c>
      <c r="Z19" s="7" t="s">
        <v>293</v>
      </c>
      <c r="AA19" s="7" t="s">
        <v>294</v>
      </c>
      <c r="AB19" s="7" t="s">
        <v>284</v>
      </c>
      <c r="AC19" s="7" t="s">
        <v>295</v>
      </c>
      <c r="AD19" s="7" t="s">
        <v>296</v>
      </c>
      <c r="AE19" s="7" t="s">
        <v>297</v>
      </c>
      <c r="AF19" s="7" t="s">
        <v>97</v>
      </c>
      <c r="AG19" s="7" t="s">
        <v>98</v>
      </c>
      <c r="AH19" s="7" t="s">
        <v>99</v>
      </c>
      <c r="AI19" s="7" t="s">
        <v>217</v>
      </c>
      <c r="AJ19" s="7" t="s">
        <v>298</v>
      </c>
      <c r="AK19" s="7">
        <v>84</v>
      </c>
      <c r="AL19" s="7" t="s">
        <v>110</v>
      </c>
      <c r="AM19" s="4" t="s">
        <v>29</v>
      </c>
    </row>
    <row r="20" spans="1:39" ht="54" customHeight="1" x14ac:dyDescent="0.2">
      <c r="A20" s="10">
        <v>19</v>
      </c>
      <c r="B20" s="10" t="s">
        <v>28</v>
      </c>
      <c r="C20" s="10" t="s">
        <v>299</v>
      </c>
      <c r="D20" s="10" t="s">
        <v>300</v>
      </c>
      <c r="E20" s="7" t="s">
        <v>279</v>
      </c>
      <c r="F20" s="7" t="s">
        <v>301</v>
      </c>
      <c r="G20" s="17">
        <v>39</v>
      </c>
      <c r="H20" s="17">
        <v>25</v>
      </c>
      <c r="I20" s="17">
        <v>150</v>
      </c>
      <c r="J20" s="8">
        <v>0.18</v>
      </c>
      <c r="K20" s="17">
        <v>35</v>
      </c>
      <c r="L20" s="8">
        <v>0.01</v>
      </c>
      <c r="M20" s="17">
        <v>0.5</v>
      </c>
      <c r="N20" s="17">
        <v>0</v>
      </c>
      <c r="O20" s="18">
        <f>J20*K20+L20*الافتراضات!$B$3+M20+N20</f>
        <v>8.8000000000000007</v>
      </c>
      <c r="P20" s="18">
        <f>O20*الافتراضات!$B$7</f>
        <v>0.35200000000000004</v>
      </c>
      <c r="Q20" s="18">
        <f>G20*الافتراضات!$B$4</f>
        <v>0.97500000000000009</v>
      </c>
      <c r="R20" s="18">
        <f>G20*الافتراضات!$B$5</f>
        <v>1.9500000000000002</v>
      </c>
      <c r="S20" s="18">
        <f t="shared" si="0"/>
        <v>12.077000000000002</v>
      </c>
      <c r="T20" s="19">
        <f t="shared" si="1"/>
        <v>0.69033333333333324</v>
      </c>
      <c r="U20" s="19">
        <f t="shared" si="2"/>
        <v>0.74033333333333329</v>
      </c>
      <c r="V20" s="18">
        <f>(O20+P20)/((1-الافتراضات!$B$4-الافتراضات!$B$5)*(1-الافتراضات!$B$6))</f>
        <v>19.788108108108112</v>
      </c>
      <c r="W20" s="19">
        <f t="shared" si="3"/>
        <v>0.49261261261261252</v>
      </c>
      <c r="X20" s="7" t="s">
        <v>89</v>
      </c>
      <c r="Y20" s="7" t="s">
        <v>302</v>
      </c>
      <c r="Z20" s="7" t="s">
        <v>303</v>
      </c>
      <c r="AA20" s="7" t="s">
        <v>304</v>
      </c>
      <c r="AB20" s="7" t="s">
        <v>305</v>
      </c>
      <c r="AC20" s="7" t="s">
        <v>306</v>
      </c>
      <c r="AD20" s="7" t="s">
        <v>296</v>
      </c>
      <c r="AE20" s="7" t="s">
        <v>307</v>
      </c>
      <c r="AF20" s="7" t="s">
        <v>160</v>
      </c>
      <c r="AG20" s="7" t="s">
        <v>98</v>
      </c>
      <c r="AH20" s="7" t="s">
        <v>99</v>
      </c>
      <c r="AI20" s="7" t="s">
        <v>217</v>
      </c>
      <c r="AJ20" s="7" t="s">
        <v>308</v>
      </c>
      <c r="AK20" s="7">
        <v>84</v>
      </c>
      <c r="AL20" s="7" t="s">
        <v>110</v>
      </c>
      <c r="AM20" s="4" t="s">
        <v>29</v>
      </c>
    </row>
    <row r="21" spans="1:39" ht="54" customHeight="1" x14ac:dyDescent="0.2">
      <c r="A21" s="10">
        <v>20</v>
      </c>
      <c r="B21" s="10" t="s">
        <v>28</v>
      </c>
      <c r="C21" s="10" t="s">
        <v>309</v>
      </c>
      <c r="D21" s="10" t="s">
        <v>310</v>
      </c>
      <c r="E21" s="7" t="s">
        <v>311</v>
      </c>
      <c r="F21" s="7" t="s">
        <v>312</v>
      </c>
      <c r="G21" s="17">
        <v>149</v>
      </c>
      <c r="H21" s="17">
        <v>100</v>
      </c>
      <c r="I21" s="17">
        <v>500</v>
      </c>
      <c r="J21" s="8">
        <v>0.75</v>
      </c>
      <c r="K21" s="17">
        <v>35</v>
      </c>
      <c r="L21" s="8">
        <v>0.03</v>
      </c>
      <c r="M21" s="17">
        <v>2</v>
      </c>
      <c r="N21" s="17">
        <v>0</v>
      </c>
      <c r="O21" s="18">
        <f>J21*K21+L21*الافتراضات!$B$3+M21+N21</f>
        <v>34.25</v>
      </c>
      <c r="P21" s="18">
        <f>O21*الافتراضات!$B$7</f>
        <v>1.37</v>
      </c>
      <c r="Q21" s="18">
        <f>G21*الافتراضات!$B$4</f>
        <v>3.7250000000000001</v>
      </c>
      <c r="R21" s="18">
        <f>G21*الافتراضات!$B$5</f>
        <v>7.45</v>
      </c>
      <c r="S21" s="18">
        <f t="shared" si="0"/>
        <v>46.795000000000002</v>
      </c>
      <c r="T21" s="19">
        <f t="shared" si="1"/>
        <v>0.68593959731543619</v>
      </c>
      <c r="U21" s="19">
        <f t="shared" si="2"/>
        <v>0.73593959731543623</v>
      </c>
      <c r="V21" s="18">
        <f>(O21+P21)/((1-الافتراضات!$B$4-الافتراضات!$B$5)*(1-الافتراضات!$B$6))</f>
        <v>77.016216216216222</v>
      </c>
      <c r="W21" s="19">
        <f t="shared" si="3"/>
        <v>0.48311264284418642</v>
      </c>
      <c r="X21" s="7" t="s">
        <v>115</v>
      </c>
      <c r="Y21" s="7" t="s">
        <v>313</v>
      </c>
      <c r="Z21" s="7" t="s">
        <v>314</v>
      </c>
      <c r="AA21" s="7" t="s">
        <v>315</v>
      </c>
      <c r="AB21" s="7" t="s">
        <v>316</v>
      </c>
      <c r="AC21" s="7" t="s">
        <v>317</v>
      </c>
      <c r="AD21" s="7" t="s">
        <v>238</v>
      </c>
      <c r="AE21" s="7" t="s">
        <v>318</v>
      </c>
      <c r="AF21" s="7" t="s">
        <v>122</v>
      </c>
      <c r="AG21" s="7" t="s">
        <v>98</v>
      </c>
      <c r="AH21" s="7" t="s">
        <v>99</v>
      </c>
      <c r="AI21" s="7" t="s">
        <v>217</v>
      </c>
      <c r="AJ21" s="7" t="s">
        <v>319</v>
      </c>
      <c r="AK21" s="7">
        <v>84</v>
      </c>
      <c r="AL21" s="7" t="s">
        <v>110</v>
      </c>
      <c r="AM21" s="4" t="s">
        <v>29</v>
      </c>
    </row>
    <row r="22" spans="1:39" ht="54" customHeight="1" x14ac:dyDescent="0.2">
      <c r="A22" s="10">
        <v>21</v>
      </c>
      <c r="B22" s="10" t="s">
        <v>28</v>
      </c>
      <c r="C22" s="10" t="s">
        <v>320</v>
      </c>
      <c r="D22" s="10" t="s">
        <v>320</v>
      </c>
      <c r="E22" s="7" t="s">
        <v>321</v>
      </c>
      <c r="F22" s="7" t="s">
        <v>322</v>
      </c>
      <c r="G22" s="17">
        <v>249</v>
      </c>
      <c r="H22" s="17">
        <v>200</v>
      </c>
      <c r="I22" s="17">
        <v>900</v>
      </c>
      <c r="J22" s="8">
        <v>1.3</v>
      </c>
      <c r="K22" s="17">
        <v>40</v>
      </c>
      <c r="L22" s="8">
        <v>0.05</v>
      </c>
      <c r="M22" s="17">
        <v>3</v>
      </c>
      <c r="N22" s="17">
        <v>0</v>
      </c>
      <c r="O22" s="18">
        <f>J22*K22+L22*الافتراضات!$B$3+M22+N22</f>
        <v>65</v>
      </c>
      <c r="P22" s="18">
        <f>O22*الافتراضات!$B$7</f>
        <v>2.6</v>
      </c>
      <c r="Q22" s="18">
        <f>G22*الافتراضات!$B$4</f>
        <v>6.2250000000000005</v>
      </c>
      <c r="R22" s="18">
        <f>G22*الافتراضات!$B$5</f>
        <v>12.450000000000001</v>
      </c>
      <c r="S22" s="18">
        <f t="shared" si="0"/>
        <v>86.274999999999991</v>
      </c>
      <c r="T22" s="19">
        <f t="shared" si="1"/>
        <v>0.65351405622489966</v>
      </c>
      <c r="U22" s="19">
        <f t="shared" si="2"/>
        <v>0.7035140562248996</v>
      </c>
      <c r="V22" s="18">
        <f>(O22+P22)/((1-الافتراضات!$B$4-الافتراضات!$B$5)*(1-الافتراضات!$B$6))</f>
        <v>146.16216216216216</v>
      </c>
      <c r="W22" s="19">
        <f t="shared" si="3"/>
        <v>0.41300336481059374</v>
      </c>
      <c r="X22" s="7" t="s">
        <v>115</v>
      </c>
      <c r="Y22" s="7" t="s">
        <v>323</v>
      </c>
      <c r="Z22" s="7" t="s">
        <v>324</v>
      </c>
      <c r="AA22" s="7" t="s">
        <v>325</v>
      </c>
      <c r="AB22" s="7" t="s">
        <v>326</v>
      </c>
      <c r="AC22" s="7" t="s">
        <v>327</v>
      </c>
      <c r="AD22" s="7" t="s">
        <v>296</v>
      </c>
      <c r="AE22" s="7" t="s">
        <v>328</v>
      </c>
      <c r="AF22" s="7" t="s">
        <v>135</v>
      </c>
      <c r="AG22" s="7" t="s">
        <v>136</v>
      </c>
      <c r="AH22" s="7" t="s">
        <v>137</v>
      </c>
      <c r="AI22" s="7" t="s">
        <v>192</v>
      </c>
      <c r="AJ22" s="7" t="s">
        <v>329</v>
      </c>
      <c r="AK22" s="7">
        <v>82</v>
      </c>
      <c r="AL22" s="7" t="s">
        <v>110</v>
      </c>
      <c r="AM22" s="4" t="s">
        <v>29</v>
      </c>
    </row>
    <row r="23" spans="1:39" ht="54" customHeight="1" x14ac:dyDescent="0.2">
      <c r="A23" s="10">
        <v>22</v>
      </c>
      <c r="B23" s="10" t="s">
        <v>28</v>
      </c>
      <c r="C23" s="10" t="s">
        <v>330</v>
      </c>
      <c r="D23" s="10" t="s">
        <v>331</v>
      </c>
      <c r="E23" s="7" t="s">
        <v>332</v>
      </c>
      <c r="F23" s="7" t="s">
        <v>333</v>
      </c>
      <c r="G23" s="17">
        <v>299</v>
      </c>
      <c r="H23" s="17">
        <v>200</v>
      </c>
      <c r="I23" s="17">
        <v>1200</v>
      </c>
      <c r="J23" s="8">
        <v>1.6</v>
      </c>
      <c r="K23" s="17">
        <v>40</v>
      </c>
      <c r="L23" s="8">
        <v>0.08</v>
      </c>
      <c r="M23" s="17">
        <v>4</v>
      </c>
      <c r="N23" s="17">
        <v>0</v>
      </c>
      <c r="O23" s="18">
        <f>J23*K23+L23*الافتراضات!$B$3+M23+N23</f>
        <v>84</v>
      </c>
      <c r="P23" s="18">
        <f>O23*الافتراضات!$B$7</f>
        <v>3.36</v>
      </c>
      <c r="Q23" s="18">
        <f>G23*الافتراضات!$B$4</f>
        <v>7.4750000000000005</v>
      </c>
      <c r="R23" s="18">
        <f>G23*الافتراضات!$B$5</f>
        <v>14.950000000000001</v>
      </c>
      <c r="S23" s="18">
        <f t="shared" si="0"/>
        <v>109.785</v>
      </c>
      <c r="T23" s="19">
        <f t="shared" si="1"/>
        <v>0.63282608695652176</v>
      </c>
      <c r="U23" s="19">
        <f t="shared" si="2"/>
        <v>0.6828260869565218</v>
      </c>
      <c r="V23" s="18">
        <f>(O23+P23)/((1-الافتراضات!$B$4-الافتراضات!$B$5)*(1-الافتراضات!$B$6))</f>
        <v>188.88648648648649</v>
      </c>
      <c r="W23" s="19">
        <f t="shared" si="3"/>
        <v>0.36827262044653347</v>
      </c>
      <c r="X23" s="7" t="s">
        <v>115</v>
      </c>
      <c r="Y23" s="7" t="s">
        <v>234</v>
      </c>
      <c r="Z23" s="7" t="s">
        <v>334</v>
      </c>
      <c r="AA23" s="7" t="s">
        <v>335</v>
      </c>
      <c r="AB23" s="7" t="s">
        <v>336</v>
      </c>
      <c r="AC23" s="7" t="s">
        <v>337</v>
      </c>
      <c r="AD23" s="7" t="s">
        <v>238</v>
      </c>
      <c r="AE23" s="7" t="s">
        <v>338</v>
      </c>
      <c r="AF23" s="7" t="s">
        <v>180</v>
      </c>
      <c r="AG23" s="7" t="s">
        <v>136</v>
      </c>
      <c r="AH23" s="7" t="s">
        <v>137</v>
      </c>
      <c r="AI23" s="7" t="s">
        <v>217</v>
      </c>
      <c r="AJ23" s="7" t="s">
        <v>339</v>
      </c>
      <c r="AK23" s="7">
        <v>81</v>
      </c>
      <c r="AL23" s="7" t="s">
        <v>110</v>
      </c>
      <c r="AM23" s="4" t="s">
        <v>29</v>
      </c>
    </row>
    <row r="24" spans="1:39" ht="54" customHeight="1" x14ac:dyDescent="0.2">
      <c r="A24" s="10">
        <v>23</v>
      </c>
      <c r="B24" s="10" t="s">
        <v>28</v>
      </c>
      <c r="C24" s="10" t="s">
        <v>340</v>
      </c>
      <c r="D24" s="10" t="s">
        <v>341</v>
      </c>
      <c r="E24" s="7" t="s">
        <v>342</v>
      </c>
      <c r="F24" s="7" t="s">
        <v>343</v>
      </c>
      <c r="G24" s="17">
        <v>149</v>
      </c>
      <c r="H24" s="17">
        <v>100</v>
      </c>
      <c r="I24" s="17">
        <v>500</v>
      </c>
      <c r="J24" s="8">
        <v>0.7</v>
      </c>
      <c r="K24" s="17">
        <v>35</v>
      </c>
      <c r="L24" s="8">
        <v>0.03</v>
      </c>
      <c r="M24" s="17">
        <v>2</v>
      </c>
      <c r="N24" s="17">
        <v>0</v>
      </c>
      <c r="O24" s="18">
        <f>J24*K24+L24*الافتراضات!$B$3+M24+N24</f>
        <v>32.5</v>
      </c>
      <c r="P24" s="18">
        <f>O24*الافتراضات!$B$7</f>
        <v>1.3</v>
      </c>
      <c r="Q24" s="18">
        <f>G24*الافتراضات!$B$4</f>
        <v>3.7250000000000001</v>
      </c>
      <c r="R24" s="18">
        <f>G24*الافتراضات!$B$5</f>
        <v>7.45</v>
      </c>
      <c r="S24" s="18">
        <f t="shared" si="0"/>
        <v>44.975000000000001</v>
      </c>
      <c r="T24" s="19">
        <f t="shared" si="1"/>
        <v>0.6981543624161074</v>
      </c>
      <c r="U24" s="19">
        <f t="shared" si="2"/>
        <v>0.74815436241610733</v>
      </c>
      <c r="V24" s="18">
        <f>(O24+P24)/((1-الافتراضات!$B$4-الافتراضات!$B$5)*(1-الافتراضات!$B$6))</f>
        <v>73.081081081081081</v>
      </c>
      <c r="W24" s="19">
        <f t="shared" si="3"/>
        <v>0.50952294576455648</v>
      </c>
      <c r="X24" s="7" t="s">
        <v>153</v>
      </c>
      <c r="Y24" s="7" t="s">
        <v>344</v>
      </c>
      <c r="Z24" s="7" t="s">
        <v>345</v>
      </c>
      <c r="AA24" s="7" t="s">
        <v>346</v>
      </c>
      <c r="AB24" s="7" t="s">
        <v>284</v>
      </c>
      <c r="AC24" s="7" t="s">
        <v>347</v>
      </c>
      <c r="AD24" s="7" t="s">
        <v>296</v>
      </c>
      <c r="AE24" s="7" t="s">
        <v>348</v>
      </c>
      <c r="AF24" s="7" t="s">
        <v>122</v>
      </c>
      <c r="AG24" s="7" t="s">
        <v>98</v>
      </c>
      <c r="AH24" s="7" t="s">
        <v>99</v>
      </c>
      <c r="AI24" s="7" t="s">
        <v>217</v>
      </c>
      <c r="AJ24" s="7" t="s">
        <v>349</v>
      </c>
      <c r="AK24" s="7">
        <v>82</v>
      </c>
      <c r="AL24" s="7" t="s">
        <v>110</v>
      </c>
      <c r="AM24" s="4" t="s">
        <v>29</v>
      </c>
    </row>
    <row r="25" spans="1:39" ht="54" customHeight="1" x14ac:dyDescent="0.2">
      <c r="A25" s="10">
        <v>24</v>
      </c>
      <c r="B25" s="10" t="s">
        <v>28</v>
      </c>
      <c r="C25" s="10" t="s">
        <v>350</v>
      </c>
      <c r="D25" s="10" t="s">
        <v>351</v>
      </c>
      <c r="E25" s="7" t="s">
        <v>332</v>
      </c>
      <c r="F25" s="7" t="s">
        <v>352</v>
      </c>
      <c r="G25" s="17">
        <v>990</v>
      </c>
      <c r="H25" s="17">
        <v>700</v>
      </c>
      <c r="I25" s="17">
        <v>4000</v>
      </c>
      <c r="J25" s="8">
        <v>5.5</v>
      </c>
      <c r="K25" s="17">
        <v>40</v>
      </c>
      <c r="L25" s="8">
        <v>0.25</v>
      </c>
      <c r="M25" s="17">
        <v>8</v>
      </c>
      <c r="N25" s="17">
        <v>0</v>
      </c>
      <c r="O25" s="18">
        <f>J25*K25+L25*الافتراضات!$B$3+M25+N25</f>
        <v>278</v>
      </c>
      <c r="P25" s="18">
        <f>O25*الافتراضات!$B$7</f>
        <v>11.120000000000001</v>
      </c>
      <c r="Q25" s="18">
        <f>G25*الافتراضات!$B$4</f>
        <v>24.75</v>
      </c>
      <c r="R25" s="18">
        <f>G25*الافتراضات!$B$5</f>
        <v>49.5</v>
      </c>
      <c r="S25" s="18">
        <f t="shared" si="0"/>
        <v>363.37</v>
      </c>
      <c r="T25" s="19">
        <f t="shared" si="1"/>
        <v>0.63295959595959594</v>
      </c>
      <c r="U25" s="19">
        <f t="shared" si="2"/>
        <v>0.68295959595959599</v>
      </c>
      <c r="V25" s="18">
        <f>(O25+P25)/((1-الافتراضات!$B$4-الافتراضات!$B$5)*(1-الافتراضات!$B$6))</f>
        <v>625.12432432432433</v>
      </c>
      <c r="W25" s="19">
        <f t="shared" si="3"/>
        <v>0.36856128856128856</v>
      </c>
      <c r="X25" s="7" t="s">
        <v>127</v>
      </c>
      <c r="Y25" s="7" t="s">
        <v>353</v>
      </c>
      <c r="Z25" s="7" t="s">
        <v>334</v>
      </c>
      <c r="AA25" s="7" t="s">
        <v>354</v>
      </c>
      <c r="AB25" s="7" t="s">
        <v>355</v>
      </c>
      <c r="AC25" s="7" t="s">
        <v>356</v>
      </c>
      <c r="AD25" s="7" t="s">
        <v>238</v>
      </c>
      <c r="AE25" s="7" t="s">
        <v>357</v>
      </c>
      <c r="AF25" s="7" t="s">
        <v>229</v>
      </c>
      <c r="AG25" s="7" t="s">
        <v>136</v>
      </c>
      <c r="AH25" s="7" t="s">
        <v>137</v>
      </c>
      <c r="AI25" s="7" t="s">
        <v>192</v>
      </c>
      <c r="AJ25" s="7" t="s">
        <v>358</v>
      </c>
      <c r="AK25" s="7">
        <v>81</v>
      </c>
      <c r="AL25" s="7" t="s">
        <v>110</v>
      </c>
      <c r="AM25" s="4" t="s">
        <v>29</v>
      </c>
    </row>
    <row r="26" spans="1:39" ht="54" customHeight="1" x14ac:dyDescent="0.2">
      <c r="A26" s="9">
        <v>25</v>
      </c>
      <c r="B26" s="9" t="s">
        <v>30</v>
      </c>
      <c r="C26" s="9" t="s">
        <v>282</v>
      </c>
      <c r="D26" s="9" t="s">
        <v>359</v>
      </c>
      <c r="E26" s="7" t="s">
        <v>360</v>
      </c>
      <c r="F26" s="7" t="s">
        <v>361</v>
      </c>
      <c r="G26" s="17">
        <v>29</v>
      </c>
      <c r="H26" s="17">
        <v>20</v>
      </c>
      <c r="I26" s="17">
        <v>100</v>
      </c>
      <c r="J26" s="8">
        <v>0.15</v>
      </c>
      <c r="K26" s="17">
        <v>35</v>
      </c>
      <c r="L26" s="8">
        <v>5.0000000000000001E-3</v>
      </c>
      <c r="M26" s="17">
        <v>0.3</v>
      </c>
      <c r="N26" s="17">
        <v>0</v>
      </c>
      <c r="O26" s="18">
        <f>J26*K26+L26*الافتراضات!$B$3+M26+N26</f>
        <v>6.55</v>
      </c>
      <c r="P26" s="18">
        <f>O26*الافتراضات!$B$7</f>
        <v>0.26200000000000001</v>
      </c>
      <c r="Q26" s="18">
        <f>G26*الافتراضات!$B$4</f>
        <v>0.72500000000000009</v>
      </c>
      <c r="R26" s="18">
        <f>G26*الافتراضات!$B$5</f>
        <v>1.4500000000000002</v>
      </c>
      <c r="S26" s="18">
        <f t="shared" si="0"/>
        <v>8.9869999999999983</v>
      </c>
      <c r="T26" s="19">
        <f t="shared" si="1"/>
        <v>0.69010344827586212</v>
      </c>
      <c r="U26" s="19">
        <f t="shared" si="2"/>
        <v>0.74010344827586205</v>
      </c>
      <c r="V26" s="18">
        <f>(O26+P26)/((1-الافتراضات!$B$4-الافتراضات!$B$5)*(1-الافتراضات!$B$6))</f>
        <v>14.728648648648649</v>
      </c>
      <c r="W26" s="19">
        <f t="shared" si="3"/>
        <v>0.49211556383970173</v>
      </c>
      <c r="X26" s="7" t="s">
        <v>89</v>
      </c>
      <c r="Y26" s="7" t="s">
        <v>362</v>
      </c>
      <c r="Z26" s="7" t="s">
        <v>363</v>
      </c>
      <c r="AA26" s="7" t="s">
        <v>364</v>
      </c>
      <c r="AB26" s="7" t="s">
        <v>365</v>
      </c>
      <c r="AC26" s="7" t="s">
        <v>366</v>
      </c>
      <c r="AD26" s="7" t="s">
        <v>296</v>
      </c>
      <c r="AE26" s="7" t="s">
        <v>367</v>
      </c>
      <c r="AF26" s="7" t="s">
        <v>160</v>
      </c>
      <c r="AG26" s="7" t="s">
        <v>98</v>
      </c>
      <c r="AH26" s="7" t="s">
        <v>99</v>
      </c>
      <c r="AI26" s="7" t="s">
        <v>192</v>
      </c>
      <c r="AJ26" s="7" t="s">
        <v>368</v>
      </c>
      <c r="AK26" s="7">
        <v>84</v>
      </c>
      <c r="AL26" s="7" t="s">
        <v>110</v>
      </c>
      <c r="AM26" s="4" t="s">
        <v>31</v>
      </c>
    </row>
    <row r="27" spans="1:39" ht="54" customHeight="1" x14ac:dyDescent="0.2">
      <c r="A27" s="9">
        <v>26</v>
      </c>
      <c r="B27" s="9" t="s">
        <v>30</v>
      </c>
      <c r="C27" s="9" t="s">
        <v>369</v>
      </c>
      <c r="D27" s="9" t="s">
        <v>370</v>
      </c>
      <c r="E27" s="7" t="s">
        <v>371</v>
      </c>
      <c r="F27" s="7" t="s">
        <v>372</v>
      </c>
      <c r="G27" s="17">
        <v>299</v>
      </c>
      <c r="H27" s="17">
        <v>250</v>
      </c>
      <c r="I27" s="17">
        <v>1500</v>
      </c>
      <c r="J27" s="8">
        <v>1.5</v>
      </c>
      <c r="K27" s="17">
        <v>35</v>
      </c>
      <c r="L27" s="8">
        <v>0.05</v>
      </c>
      <c r="M27" s="17">
        <v>2</v>
      </c>
      <c r="N27" s="17">
        <v>0</v>
      </c>
      <c r="O27" s="18">
        <f>J27*K27+L27*الافتراضات!$B$3+M27+N27</f>
        <v>64.5</v>
      </c>
      <c r="P27" s="18">
        <f>O27*الافتراضات!$B$7</f>
        <v>2.58</v>
      </c>
      <c r="Q27" s="18">
        <f>G27*الافتراضات!$B$4</f>
        <v>7.4750000000000005</v>
      </c>
      <c r="R27" s="18">
        <f>G27*الافتراضات!$B$5</f>
        <v>14.950000000000001</v>
      </c>
      <c r="S27" s="18">
        <f t="shared" si="0"/>
        <v>89.504999999999995</v>
      </c>
      <c r="T27" s="19">
        <f t="shared" si="1"/>
        <v>0.70065217391304346</v>
      </c>
      <c r="U27" s="19">
        <f t="shared" si="2"/>
        <v>0.75065217391304351</v>
      </c>
      <c r="V27" s="18">
        <f>(O27+P27)/((1-الافتراضات!$B$4-الافتراضات!$B$5)*(1-الافتراضات!$B$6))</f>
        <v>145.03783783783786</v>
      </c>
      <c r="W27" s="19">
        <f t="shared" si="3"/>
        <v>0.51492361927144525</v>
      </c>
      <c r="X27" s="7" t="s">
        <v>115</v>
      </c>
      <c r="Y27" s="7" t="s">
        <v>373</v>
      </c>
      <c r="Z27" s="7" t="s">
        <v>374</v>
      </c>
      <c r="AA27" s="7" t="s">
        <v>375</v>
      </c>
      <c r="AB27" s="7" t="s">
        <v>376</v>
      </c>
      <c r="AC27" s="7" t="s">
        <v>377</v>
      </c>
      <c r="AD27" s="7" t="s">
        <v>378</v>
      </c>
      <c r="AE27" s="7" t="s">
        <v>379</v>
      </c>
      <c r="AF27" s="7" t="s">
        <v>180</v>
      </c>
      <c r="AG27" s="7" t="s">
        <v>98</v>
      </c>
      <c r="AH27" s="7" t="s">
        <v>99</v>
      </c>
      <c r="AI27" s="7" t="s">
        <v>192</v>
      </c>
      <c r="AJ27" s="7" t="s">
        <v>380</v>
      </c>
      <c r="AK27" s="7">
        <v>84</v>
      </c>
      <c r="AL27" s="7" t="s">
        <v>110</v>
      </c>
      <c r="AM27" s="4" t="s">
        <v>31</v>
      </c>
    </row>
    <row r="28" spans="1:39" ht="54" customHeight="1" x14ac:dyDescent="0.2">
      <c r="A28" s="9">
        <v>27</v>
      </c>
      <c r="B28" s="9" t="s">
        <v>30</v>
      </c>
      <c r="C28" s="9" t="s">
        <v>381</v>
      </c>
      <c r="D28" s="9" t="s">
        <v>381</v>
      </c>
      <c r="E28" s="7" t="s">
        <v>360</v>
      </c>
      <c r="F28" s="7" t="s">
        <v>382</v>
      </c>
      <c r="G28" s="17">
        <v>499</v>
      </c>
      <c r="H28" s="17">
        <v>350</v>
      </c>
      <c r="I28" s="17">
        <v>2000</v>
      </c>
      <c r="J28" s="8">
        <v>2.4</v>
      </c>
      <c r="K28" s="17">
        <v>40</v>
      </c>
      <c r="L28" s="8">
        <v>0.1</v>
      </c>
      <c r="M28" s="17">
        <v>3</v>
      </c>
      <c r="N28" s="17">
        <v>0</v>
      </c>
      <c r="O28" s="18">
        <f>J28*K28+L28*الافتراضات!$B$3+M28+N28</f>
        <v>119</v>
      </c>
      <c r="P28" s="18">
        <f>O28*الافتراضات!$B$7</f>
        <v>4.76</v>
      </c>
      <c r="Q28" s="18">
        <f>G28*الافتراضات!$B$4</f>
        <v>12.475000000000001</v>
      </c>
      <c r="R28" s="18">
        <f>G28*الافتراضات!$B$5</f>
        <v>24.950000000000003</v>
      </c>
      <c r="S28" s="18">
        <f t="shared" si="0"/>
        <v>161.185</v>
      </c>
      <c r="T28" s="19">
        <f t="shared" si="1"/>
        <v>0.67698396793587179</v>
      </c>
      <c r="U28" s="19">
        <f t="shared" si="2"/>
        <v>0.72698396793587172</v>
      </c>
      <c r="V28" s="18">
        <f>(O28+P28)/((1-الافتراضات!$B$4-الافتراضات!$B$5)*(1-الافتراضات!$B$6))</f>
        <v>267.5891891891892</v>
      </c>
      <c r="W28" s="19">
        <f t="shared" si="3"/>
        <v>0.46374911986134432</v>
      </c>
      <c r="X28" s="7" t="s">
        <v>115</v>
      </c>
      <c r="Y28" s="7" t="s">
        <v>374</v>
      </c>
      <c r="Z28" s="7" t="s">
        <v>383</v>
      </c>
      <c r="AA28" s="7" t="s">
        <v>384</v>
      </c>
      <c r="AB28" s="7" t="s">
        <v>385</v>
      </c>
      <c r="AC28" s="7" t="s">
        <v>386</v>
      </c>
      <c r="AD28" s="7" t="s">
        <v>387</v>
      </c>
      <c r="AE28" s="7" t="s">
        <v>388</v>
      </c>
      <c r="AF28" s="7" t="s">
        <v>389</v>
      </c>
      <c r="AG28" s="7" t="s">
        <v>98</v>
      </c>
      <c r="AH28" s="7" t="s">
        <v>99</v>
      </c>
      <c r="AI28" s="7" t="s">
        <v>192</v>
      </c>
      <c r="AJ28" s="7" t="s">
        <v>390</v>
      </c>
      <c r="AK28" s="7">
        <v>82</v>
      </c>
      <c r="AL28" s="7" t="s">
        <v>110</v>
      </c>
      <c r="AM28" s="4" t="s">
        <v>31</v>
      </c>
    </row>
    <row r="29" spans="1:39" ht="54" customHeight="1" x14ac:dyDescent="0.2">
      <c r="A29" s="9">
        <v>28</v>
      </c>
      <c r="B29" s="9" t="s">
        <v>30</v>
      </c>
      <c r="C29" s="9" t="s">
        <v>391</v>
      </c>
      <c r="D29" s="9" t="s">
        <v>392</v>
      </c>
      <c r="E29" s="7" t="s">
        <v>393</v>
      </c>
      <c r="F29" s="7" t="s">
        <v>394</v>
      </c>
      <c r="G29" s="17">
        <v>249</v>
      </c>
      <c r="H29" s="17">
        <v>200</v>
      </c>
      <c r="I29" s="17">
        <v>1500</v>
      </c>
      <c r="J29" s="8">
        <v>1.4</v>
      </c>
      <c r="K29" s="17">
        <v>40</v>
      </c>
      <c r="L29" s="8">
        <v>0.05</v>
      </c>
      <c r="M29" s="17">
        <v>2</v>
      </c>
      <c r="N29" s="17">
        <v>0</v>
      </c>
      <c r="O29" s="18">
        <f>J29*K29+L29*الافتراضات!$B$3+M29+N29</f>
        <v>68</v>
      </c>
      <c r="P29" s="18">
        <f>O29*الافتراضات!$B$7</f>
        <v>2.72</v>
      </c>
      <c r="Q29" s="18">
        <f>G29*الافتراضات!$B$4</f>
        <v>6.2250000000000005</v>
      </c>
      <c r="R29" s="18">
        <f>G29*الافتراضات!$B$5</f>
        <v>12.450000000000001</v>
      </c>
      <c r="S29" s="18">
        <f t="shared" si="0"/>
        <v>89.394999999999996</v>
      </c>
      <c r="T29" s="19">
        <f t="shared" si="1"/>
        <v>0.64098393574297197</v>
      </c>
      <c r="U29" s="19">
        <f t="shared" si="2"/>
        <v>0.6909839357429719</v>
      </c>
      <c r="V29" s="18">
        <f>(O29+P29)/((1-الافتراضات!$B$4-الافتراضات!$B$5)*(1-الافتراضات!$B$6))</f>
        <v>152.90810810810811</v>
      </c>
      <c r="W29" s="19">
        <f t="shared" si="3"/>
        <v>0.38591121241723653</v>
      </c>
      <c r="X29" s="7" t="s">
        <v>115</v>
      </c>
      <c r="Y29" s="7" t="s">
        <v>395</v>
      </c>
      <c r="Z29" s="7" t="s">
        <v>396</v>
      </c>
      <c r="AA29" s="7" t="s">
        <v>397</v>
      </c>
      <c r="AB29" s="7" t="s">
        <v>398</v>
      </c>
      <c r="AC29" s="7" t="s">
        <v>399</v>
      </c>
      <c r="AD29" s="7" t="s">
        <v>400</v>
      </c>
      <c r="AE29" s="7" t="s">
        <v>401</v>
      </c>
      <c r="AF29" s="7" t="s">
        <v>135</v>
      </c>
      <c r="AG29" s="7" t="s">
        <v>98</v>
      </c>
      <c r="AH29" s="7" t="s">
        <v>137</v>
      </c>
      <c r="AI29" s="7" t="s">
        <v>192</v>
      </c>
      <c r="AJ29" s="7" t="s">
        <v>402</v>
      </c>
      <c r="AK29" s="7">
        <v>81</v>
      </c>
      <c r="AL29" s="7" t="s">
        <v>110</v>
      </c>
      <c r="AM29" s="4" t="s">
        <v>31</v>
      </c>
    </row>
    <row r="30" spans="1:39" ht="54" customHeight="1" x14ac:dyDescent="0.2">
      <c r="A30" s="9">
        <v>29</v>
      </c>
      <c r="B30" s="9" t="s">
        <v>30</v>
      </c>
      <c r="C30" s="9" t="s">
        <v>403</v>
      </c>
      <c r="D30" s="9" t="s">
        <v>404</v>
      </c>
      <c r="E30" s="7" t="s">
        <v>405</v>
      </c>
      <c r="F30" s="7" t="s">
        <v>406</v>
      </c>
      <c r="G30" s="17">
        <v>399</v>
      </c>
      <c r="H30" s="17">
        <v>400</v>
      </c>
      <c r="I30" s="17">
        <v>2500</v>
      </c>
      <c r="J30" s="8">
        <v>2.2000000000000002</v>
      </c>
      <c r="K30" s="17">
        <v>45</v>
      </c>
      <c r="L30" s="8">
        <v>0.1</v>
      </c>
      <c r="M30" s="17">
        <v>3</v>
      </c>
      <c r="N30" s="17">
        <v>0</v>
      </c>
      <c r="O30" s="18">
        <f>J30*K30+L30*الافتراضات!$B$3+M30+N30</f>
        <v>122.00000000000001</v>
      </c>
      <c r="P30" s="18">
        <f>O30*الافتراضات!$B$7</f>
        <v>4.8800000000000008</v>
      </c>
      <c r="Q30" s="18">
        <f>G30*الافتراضات!$B$4</f>
        <v>9.9750000000000014</v>
      </c>
      <c r="R30" s="18">
        <f>G30*الافتراضات!$B$5</f>
        <v>19.950000000000003</v>
      </c>
      <c r="S30" s="18">
        <f t="shared" si="0"/>
        <v>156.80500000000001</v>
      </c>
      <c r="T30" s="19">
        <f t="shared" si="1"/>
        <v>0.60700501253132833</v>
      </c>
      <c r="U30" s="19">
        <f t="shared" si="2"/>
        <v>0.65700501253132826</v>
      </c>
      <c r="V30" s="18">
        <f>(O30+P30)/((1-الافتراضات!$B$4-الافتراضات!$B$5)*(1-الافتراضات!$B$6))</f>
        <v>274.3351351351352</v>
      </c>
      <c r="W30" s="19">
        <f t="shared" si="3"/>
        <v>0.31244327033800701</v>
      </c>
      <c r="X30" s="7" t="s">
        <v>127</v>
      </c>
      <c r="Y30" s="7" t="s">
        <v>407</v>
      </c>
      <c r="Z30" s="7" t="s">
        <v>408</v>
      </c>
      <c r="AA30" s="7" t="s">
        <v>409</v>
      </c>
      <c r="AB30" s="7" t="s">
        <v>410</v>
      </c>
      <c r="AC30" s="7" t="s">
        <v>411</v>
      </c>
      <c r="AD30" s="7" t="s">
        <v>378</v>
      </c>
      <c r="AE30" s="7" t="s">
        <v>412</v>
      </c>
      <c r="AF30" s="7" t="s">
        <v>389</v>
      </c>
      <c r="AG30" s="7" t="s">
        <v>136</v>
      </c>
      <c r="AH30" s="7" t="s">
        <v>137</v>
      </c>
      <c r="AI30" s="7" t="s">
        <v>192</v>
      </c>
      <c r="AJ30" s="7" t="s">
        <v>413</v>
      </c>
      <c r="AK30" s="7">
        <v>80</v>
      </c>
      <c r="AL30" s="7" t="s">
        <v>110</v>
      </c>
      <c r="AM30" s="4" t="s">
        <v>31</v>
      </c>
    </row>
    <row r="31" spans="1:39" ht="54" customHeight="1" x14ac:dyDescent="0.2">
      <c r="A31" s="9">
        <v>30</v>
      </c>
      <c r="B31" s="9" t="s">
        <v>30</v>
      </c>
      <c r="C31" s="9" t="s">
        <v>414</v>
      </c>
      <c r="D31" s="9" t="s">
        <v>414</v>
      </c>
      <c r="E31" s="7" t="s">
        <v>332</v>
      </c>
      <c r="F31" s="7" t="s">
        <v>415</v>
      </c>
      <c r="G31" s="17">
        <v>299</v>
      </c>
      <c r="H31" s="17">
        <v>250</v>
      </c>
      <c r="I31" s="17">
        <v>1200</v>
      </c>
      <c r="J31" s="8">
        <v>1.5</v>
      </c>
      <c r="K31" s="17">
        <v>40</v>
      </c>
      <c r="L31" s="8">
        <v>0.06</v>
      </c>
      <c r="M31" s="17">
        <v>2</v>
      </c>
      <c r="N31" s="17">
        <v>0</v>
      </c>
      <c r="O31" s="18">
        <f>J31*K31+L31*الافتراضات!$B$3+M31+N31</f>
        <v>74</v>
      </c>
      <c r="P31" s="18">
        <f>O31*الافتراضات!$B$7</f>
        <v>2.96</v>
      </c>
      <c r="Q31" s="18">
        <f>G31*الافتراضات!$B$4</f>
        <v>7.4750000000000005</v>
      </c>
      <c r="R31" s="18">
        <f>G31*الافتراضات!$B$5</f>
        <v>14.950000000000001</v>
      </c>
      <c r="S31" s="18">
        <f t="shared" si="0"/>
        <v>99.384999999999991</v>
      </c>
      <c r="T31" s="19">
        <f t="shared" si="1"/>
        <v>0.66760869565217396</v>
      </c>
      <c r="U31" s="19">
        <f t="shared" si="2"/>
        <v>0.71760869565217389</v>
      </c>
      <c r="V31" s="18">
        <f>(O31+P31)/((1-الافتراضات!$B$4-الافتراضات!$B$5)*(1-الافتراضات!$B$6))</f>
        <v>166.4</v>
      </c>
      <c r="W31" s="19">
        <f t="shared" si="3"/>
        <v>0.44347826086956521</v>
      </c>
      <c r="X31" s="7" t="s">
        <v>115</v>
      </c>
      <c r="Y31" s="7" t="s">
        <v>416</v>
      </c>
      <c r="Z31" s="7" t="s">
        <v>417</v>
      </c>
      <c r="AA31" s="7" t="s">
        <v>418</v>
      </c>
      <c r="AB31" s="7" t="s">
        <v>201</v>
      </c>
      <c r="AC31" s="7" t="s">
        <v>419</v>
      </c>
      <c r="AD31" s="7" t="s">
        <v>147</v>
      </c>
      <c r="AE31" s="7" t="s">
        <v>420</v>
      </c>
      <c r="AF31" s="7" t="s">
        <v>122</v>
      </c>
      <c r="AG31" s="7" t="s">
        <v>98</v>
      </c>
      <c r="AH31" s="7" t="s">
        <v>99</v>
      </c>
      <c r="AI31" s="7" t="s">
        <v>192</v>
      </c>
      <c r="AJ31" s="7" t="s">
        <v>421</v>
      </c>
      <c r="AK31" s="7">
        <v>84</v>
      </c>
      <c r="AL31" s="7" t="s">
        <v>110</v>
      </c>
      <c r="AM31" s="4" t="s">
        <v>31</v>
      </c>
    </row>
    <row r="32" spans="1:39" ht="54" customHeight="1" x14ac:dyDescent="0.2">
      <c r="A32" s="9">
        <v>31</v>
      </c>
      <c r="B32" s="9" t="s">
        <v>30</v>
      </c>
      <c r="C32" s="9" t="s">
        <v>422</v>
      </c>
      <c r="D32" s="9" t="s">
        <v>423</v>
      </c>
      <c r="E32" s="7" t="s">
        <v>424</v>
      </c>
      <c r="F32" s="7" t="s">
        <v>425</v>
      </c>
      <c r="G32" s="17">
        <v>499</v>
      </c>
      <c r="H32" s="17">
        <v>500</v>
      </c>
      <c r="I32" s="17">
        <v>4000</v>
      </c>
      <c r="J32" s="8">
        <v>2.5</v>
      </c>
      <c r="K32" s="17">
        <v>45</v>
      </c>
      <c r="L32" s="8">
        <v>0.12</v>
      </c>
      <c r="M32" s="17">
        <v>4</v>
      </c>
      <c r="N32" s="17">
        <v>0</v>
      </c>
      <c r="O32" s="18">
        <f>J32*K32+L32*الافتراضات!$B$3+M32+N32</f>
        <v>140.5</v>
      </c>
      <c r="P32" s="18">
        <f>O32*الافتراضات!$B$7</f>
        <v>5.62</v>
      </c>
      <c r="Q32" s="18">
        <f>G32*الافتراضات!$B$4</f>
        <v>12.475000000000001</v>
      </c>
      <c r="R32" s="18">
        <f>G32*الافتراضات!$B$5</f>
        <v>24.950000000000003</v>
      </c>
      <c r="S32" s="18">
        <f t="shared" si="0"/>
        <v>183.54500000000002</v>
      </c>
      <c r="T32" s="19">
        <f t="shared" si="1"/>
        <v>0.63217434869739475</v>
      </c>
      <c r="U32" s="19">
        <f t="shared" si="2"/>
        <v>0.68217434869739468</v>
      </c>
      <c r="V32" s="18">
        <f>(O32+P32)/((1-الافتراضات!$B$4-الافتراضات!$B$5)*(1-الافتراضات!$B$6))</f>
        <v>315.93513513513517</v>
      </c>
      <c r="W32" s="19">
        <f t="shared" si="3"/>
        <v>0.36686345664301567</v>
      </c>
      <c r="X32" s="7" t="s">
        <v>127</v>
      </c>
      <c r="Y32" s="7" t="s">
        <v>426</v>
      </c>
      <c r="Z32" s="7" t="s">
        <v>427</v>
      </c>
      <c r="AA32" s="7" t="s">
        <v>428</v>
      </c>
      <c r="AB32" s="7" t="s">
        <v>429</v>
      </c>
      <c r="AC32" s="7" t="s">
        <v>430</v>
      </c>
      <c r="AD32" s="7" t="s">
        <v>296</v>
      </c>
      <c r="AE32" s="7" t="s">
        <v>431</v>
      </c>
      <c r="AF32" s="7" t="s">
        <v>389</v>
      </c>
      <c r="AG32" s="7" t="s">
        <v>136</v>
      </c>
      <c r="AH32" s="7" t="s">
        <v>137</v>
      </c>
      <c r="AI32" s="7" t="s">
        <v>192</v>
      </c>
      <c r="AJ32" s="7" t="s">
        <v>432</v>
      </c>
      <c r="AK32" s="7">
        <v>80</v>
      </c>
      <c r="AL32" s="7" t="s">
        <v>110</v>
      </c>
      <c r="AM32" s="4" t="s">
        <v>31</v>
      </c>
    </row>
    <row r="33" spans="1:39" ht="54" customHeight="1" x14ac:dyDescent="0.2">
      <c r="A33" s="9">
        <v>32</v>
      </c>
      <c r="B33" s="9" t="s">
        <v>30</v>
      </c>
      <c r="C33" s="9" t="s">
        <v>433</v>
      </c>
      <c r="D33" s="9" t="s">
        <v>434</v>
      </c>
      <c r="E33" s="7" t="s">
        <v>435</v>
      </c>
      <c r="F33" s="7" t="s">
        <v>436</v>
      </c>
      <c r="G33" s="17">
        <v>399</v>
      </c>
      <c r="H33" s="17">
        <v>300</v>
      </c>
      <c r="I33" s="17">
        <v>2500</v>
      </c>
      <c r="J33" s="8">
        <v>1.8</v>
      </c>
      <c r="K33" s="17">
        <v>45</v>
      </c>
      <c r="L33" s="8">
        <v>0.08</v>
      </c>
      <c r="M33" s="17">
        <v>3</v>
      </c>
      <c r="N33" s="17">
        <v>0</v>
      </c>
      <c r="O33" s="18">
        <f>J33*K33+L33*الافتراضات!$B$3+M33+N33</f>
        <v>100</v>
      </c>
      <c r="P33" s="18">
        <f>O33*الافتراضات!$B$7</f>
        <v>4</v>
      </c>
      <c r="Q33" s="18">
        <f>G33*الافتراضات!$B$4</f>
        <v>9.9750000000000014</v>
      </c>
      <c r="R33" s="18">
        <f>G33*الافتراضات!$B$5</f>
        <v>19.950000000000003</v>
      </c>
      <c r="S33" s="18">
        <f t="shared" si="0"/>
        <v>133.92500000000001</v>
      </c>
      <c r="T33" s="19">
        <f t="shared" si="1"/>
        <v>0.66434837092731824</v>
      </c>
      <c r="U33" s="19">
        <f t="shared" si="2"/>
        <v>0.71434837092731829</v>
      </c>
      <c r="V33" s="18">
        <f>(O33+P33)/((1-الافتراضات!$B$4-الافتراضات!$B$5)*(1-الافتراضات!$B$6))</f>
        <v>224.86486486486487</v>
      </c>
      <c r="W33" s="19">
        <f t="shared" si="3"/>
        <v>0.43642891011312063</v>
      </c>
      <c r="X33" s="7" t="s">
        <v>115</v>
      </c>
      <c r="Y33" s="7" t="s">
        <v>437</v>
      </c>
      <c r="Z33" s="7" t="s">
        <v>438</v>
      </c>
      <c r="AA33" s="7" t="s">
        <v>439</v>
      </c>
      <c r="AB33" s="7" t="s">
        <v>440</v>
      </c>
      <c r="AC33" s="7" t="s">
        <v>441</v>
      </c>
      <c r="AD33" s="7" t="s">
        <v>378</v>
      </c>
      <c r="AE33" s="7" t="s">
        <v>442</v>
      </c>
      <c r="AF33" s="7" t="s">
        <v>135</v>
      </c>
      <c r="AG33" s="7" t="s">
        <v>98</v>
      </c>
      <c r="AH33" s="7" t="s">
        <v>99</v>
      </c>
      <c r="AI33" s="7" t="s">
        <v>192</v>
      </c>
      <c r="AJ33" s="7" t="s">
        <v>443</v>
      </c>
      <c r="AK33" s="7">
        <v>82</v>
      </c>
      <c r="AL33" s="7" t="s">
        <v>110</v>
      </c>
      <c r="AM33" s="4" t="s">
        <v>31</v>
      </c>
    </row>
    <row r="34" spans="1:39" ht="54" customHeight="1" x14ac:dyDescent="0.2">
      <c r="A34" s="11">
        <v>33</v>
      </c>
      <c r="B34" s="11" t="s">
        <v>32</v>
      </c>
      <c r="C34" s="11" t="s">
        <v>444</v>
      </c>
      <c r="D34" s="11" t="s">
        <v>445</v>
      </c>
      <c r="E34" s="7" t="s">
        <v>332</v>
      </c>
      <c r="F34" s="7" t="s">
        <v>446</v>
      </c>
      <c r="G34" s="17">
        <v>690</v>
      </c>
      <c r="H34" s="17">
        <v>499</v>
      </c>
      <c r="I34" s="17">
        <v>6500</v>
      </c>
      <c r="J34" s="8">
        <v>4</v>
      </c>
      <c r="K34" s="17">
        <v>40</v>
      </c>
      <c r="L34" s="8">
        <v>0.15</v>
      </c>
      <c r="M34" s="17">
        <v>6</v>
      </c>
      <c r="N34" s="17">
        <v>0</v>
      </c>
      <c r="O34" s="18">
        <f>J34*K34+L34*الافتراضات!$B$3+M34+N34</f>
        <v>196</v>
      </c>
      <c r="P34" s="18">
        <f>O34*الافتراضات!$B$7</f>
        <v>7.84</v>
      </c>
      <c r="Q34" s="18">
        <f>G34*الافتراضات!$B$4</f>
        <v>17.25</v>
      </c>
      <c r="R34" s="18">
        <f>G34*الافتراضات!$B$5</f>
        <v>34.5</v>
      </c>
      <c r="S34" s="18">
        <f t="shared" ref="S34:S65" si="4">SUM(O34:R34)</f>
        <v>255.59</v>
      </c>
      <c r="T34" s="19">
        <f t="shared" ref="T34:T65" si="5">(G34-S34)/G34</f>
        <v>0.62957971014492753</v>
      </c>
      <c r="U34" s="19">
        <f t="shared" ref="U34:U65" si="6">(G34-(O34+P34+Q34))/G34</f>
        <v>0.67957971014492746</v>
      </c>
      <c r="V34" s="18">
        <f>(O34+P34)/((1-الافتراضات!$B$4-الافتراضات!$B$5)*(1-الافتراضات!$B$6))</f>
        <v>440.73513513513518</v>
      </c>
      <c r="W34" s="19">
        <f t="shared" ref="W34:W65" si="7">MAX(0,(G34-V34)/G34)</f>
        <v>0.36125342734038379</v>
      </c>
      <c r="X34" s="7" t="s">
        <v>115</v>
      </c>
      <c r="Y34" s="7" t="s">
        <v>447</v>
      </c>
      <c r="Z34" s="7" t="s">
        <v>448</v>
      </c>
      <c r="AA34" s="7" t="s">
        <v>449</v>
      </c>
      <c r="AB34" s="7" t="s">
        <v>355</v>
      </c>
      <c r="AC34" s="7" t="s">
        <v>326</v>
      </c>
      <c r="AD34" s="7" t="s">
        <v>238</v>
      </c>
      <c r="AE34" s="7" t="s">
        <v>450</v>
      </c>
      <c r="AF34" s="7" t="s">
        <v>451</v>
      </c>
      <c r="AG34" s="7" t="s">
        <v>136</v>
      </c>
      <c r="AH34" s="7" t="s">
        <v>137</v>
      </c>
      <c r="AI34" s="7" t="s">
        <v>192</v>
      </c>
      <c r="AJ34" s="7" t="s">
        <v>452</v>
      </c>
      <c r="AK34" s="7">
        <v>80</v>
      </c>
      <c r="AL34" s="7" t="s">
        <v>110</v>
      </c>
      <c r="AM34" s="4" t="s">
        <v>33</v>
      </c>
    </row>
    <row r="35" spans="1:39" ht="54" customHeight="1" x14ac:dyDescent="0.2">
      <c r="A35" s="11">
        <v>34</v>
      </c>
      <c r="B35" s="11" t="s">
        <v>32</v>
      </c>
      <c r="C35" s="11" t="s">
        <v>353</v>
      </c>
      <c r="D35" s="11" t="s">
        <v>353</v>
      </c>
      <c r="E35" s="7" t="s">
        <v>332</v>
      </c>
      <c r="F35" s="7" t="s">
        <v>453</v>
      </c>
      <c r="G35" s="17">
        <v>1490</v>
      </c>
      <c r="H35" s="17">
        <v>1500</v>
      </c>
      <c r="I35" s="17">
        <v>13500</v>
      </c>
      <c r="J35" s="8">
        <v>8</v>
      </c>
      <c r="K35" s="17">
        <v>45</v>
      </c>
      <c r="L35" s="8">
        <v>0.35</v>
      </c>
      <c r="M35" s="17">
        <v>10</v>
      </c>
      <c r="N35" s="17">
        <v>0</v>
      </c>
      <c r="O35" s="18">
        <f>J35*K35+L35*الافتراضات!$B$3+M35+N35</f>
        <v>440</v>
      </c>
      <c r="P35" s="18">
        <f>O35*الافتراضات!$B$7</f>
        <v>17.600000000000001</v>
      </c>
      <c r="Q35" s="18">
        <f>G35*الافتراضات!$B$4</f>
        <v>37.25</v>
      </c>
      <c r="R35" s="18">
        <f>G35*الافتراضات!$B$5</f>
        <v>74.5</v>
      </c>
      <c r="S35" s="18">
        <f t="shared" si="4"/>
        <v>569.35</v>
      </c>
      <c r="T35" s="19">
        <f t="shared" si="5"/>
        <v>0.6178859060402685</v>
      </c>
      <c r="U35" s="19">
        <f t="shared" si="6"/>
        <v>0.66788590604026843</v>
      </c>
      <c r="V35" s="18">
        <f>(O35+P35)/((1-الافتراضات!$B$4-الافتراضات!$B$5)*(1-الافتراضات!$B$6))</f>
        <v>989.40540540540553</v>
      </c>
      <c r="W35" s="19">
        <f t="shared" si="7"/>
        <v>0.33596952657355333</v>
      </c>
      <c r="X35" s="7" t="s">
        <v>127</v>
      </c>
      <c r="Y35" s="7" t="s">
        <v>454</v>
      </c>
      <c r="Z35" s="7" t="s">
        <v>448</v>
      </c>
      <c r="AA35" s="7" t="s">
        <v>455</v>
      </c>
      <c r="AB35" s="7" t="s">
        <v>201</v>
      </c>
      <c r="AC35" s="7" t="s">
        <v>456</v>
      </c>
      <c r="AD35" s="7" t="s">
        <v>296</v>
      </c>
      <c r="AE35" s="7" t="s">
        <v>420</v>
      </c>
      <c r="AF35" s="7" t="s">
        <v>240</v>
      </c>
      <c r="AG35" s="7" t="s">
        <v>136</v>
      </c>
      <c r="AH35" s="7" t="s">
        <v>137</v>
      </c>
      <c r="AI35" s="7" t="s">
        <v>192</v>
      </c>
      <c r="AJ35" s="7" t="s">
        <v>457</v>
      </c>
      <c r="AK35" s="7">
        <v>78</v>
      </c>
      <c r="AL35" s="7" t="s">
        <v>110</v>
      </c>
      <c r="AM35" s="4" t="s">
        <v>33</v>
      </c>
    </row>
    <row r="36" spans="1:39" ht="54" customHeight="1" x14ac:dyDescent="0.2">
      <c r="A36" s="11">
        <v>35</v>
      </c>
      <c r="B36" s="11" t="s">
        <v>32</v>
      </c>
      <c r="C36" s="11" t="s">
        <v>458</v>
      </c>
      <c r="D36" s="11" t="s">
        <v>459</v>
      </c>
      <c r="E36" s="7" t="s">
        <v>460</v>
      </c>
      <c r="F36" s="7" t="s">
        <v>461</v>
      </c>
      <c r="G36" s="17">
        <v>590</v>
      </c>
      <c r="H36" s="17">
        <v>400</v>
      </c>
      <c r="I36" s="17">
        <v>2500</v>
      </c>
      <c r="J36" s="8">
        <v>3.2</v>
      </c>
      <c r="K36" s="17">
        <v>40</v>
      </c>
      <c r="L36" s="8">
        <v>0.12</v>
      </c>
      <c r="M36" s="17">
        <v>5</v>
      </c>
      <c r="N36" s="17">
        <v>0</v>
      </c>
      <c r="O36" s="18">
        <f>J36*K36+L36*الافتراضات!$B$3+M36+N36</f>
        <v>157</v>
      </c>
      <c r="P36" s="18">
        <f>O36*الافتراضات!$B$7</f>
        <v>6.28</v>
      </c>
      <c r="Q36" s="18">
        <f>G36*الافتراضات!$B$4</f>
        <v>14.75</v>
      </c>
      <c r="R36" s="18">
        <f>G36*الافتراضات!$B$5</f>
        <v>29.5</v>
      </c>
      <c r="S36" s="18">
        <f t="shared" si="4"/>
        <v>207.53</v>
      </c>
      <c r="T36" s="19">
        <f t="shared" si="5"/>
        <v>0.64825423728813569</v>
      </c>
      <c r="U36" s="19">
        <f t="shared" si="6"/>
        <v>0.69825423728813563</v>
      </c>
      <c r="V36" s="18">
        <f>(O36+P36)/((1-الافتراضات!$B$4-الافتراضات!$B$5)*(1-الافتراضات!$B$6))</f>
        <v>353.03783783783786</v>
      </c>
      <c r="W36" s="19">
        <f t="shared" si="7"/>
        <v>0.40163078332569857</v>
      </c>
      <c r="X36" s="7" t="s">
        <v>115</v>
      </c>
      <c r="Y36" s="7" t="s">
        <v>448</v>
      </c>
      <c r="Z36" s="7" t="s">
        <v>248</v>
      </c>
      <c r="AA36" s="7" t="s">
        <v>462</v>
      </c>
      <c r="AB36" s="7" t="s">
        <v>463</v>
      </c>
      <c r="AC36" s="7" t="s">
        <v>464</v>
      </c>
      <c r="AD36" s="7" t="s">
        <v>238</v>
      </c>
      <c r="AE36" s="7" t="s">
        <v>465</v>
      </c>
      <c r="AF36" s="7" t="s">
        <v>389</v>
      </c>
      <c r="AG36" s="7" t="s">
        <v>136</v>
      </c>
      <c r="AH36" s="7" t="s">
        <v>137</v>
      </c>
      <c r="AI36" s="7" t="s">
        <v>192</v>
      </c>
      <c r="AJ36" s="7" t="s">
        <v>466</v>
      </c>
      <c r="AK36" s="7">
        <v>80</v>
      </c>
      <c r="AL36" s="7" t="s">
        <v>110</v>
      </c>
      <c r="AM36" s="4" t="s">
        <v>33</v>
      </c>
    </row>
    <row r="37" spans="1:39" ht="54" customHeight="1" x14ac:dyDescent="0.2">
      <c r="A37" s="11">
        <v>36</v>
      </c>
      <c r="B37" s="11" t="s">
        <v>32</v>
      </c>
      <c r="C37" s="11" t="s">
        <v>467</v>
      </c>
      <c r="D37" s="11" t="s">
        <v>467</v>
      </c>
      <c r="E37" s="7" t="s">
        <v>332</v>
      </c>
      <c r="F37" s="7" t="s">
        <v>468</v>
      </c>
      <c r="G37" s="17">
        <v>1290</v>
      </c>
      <c r="H37" s="17">
        <v>1200</v>
      </c>
      <c r="I37" s="17">
        <v>7000</v>
      </c>
      <c r="J37" s="8">
        <v>7</v>
      </c>
      <c r="K37" s="17">
        <v>45</v>
      </c>
      <c r="L37" s="8">
        <v>0.3</v>
      </c>
      <c r="M37" s="17">
        <v>10</v>
      </c>
      <c r="N37" s="17">
        <v>0</v>
      </c>
      <c r="O37" s="18">
        <f>J37*K37+L37*الافتراضات!$B$3+M37+N37</f>
        <v>385</v>
      </c>
      <c r="P37" s="18">
        <f>O37*الافتراضات!$B$7</f>
        <v>15.4</v>
      </c>
      <c r="Q37" s="18">
        <f>G37*الافتراضات!$B$4</f>
        <v>32.25</v>
      </c>
      <c r="R37" s="18">
        <f>G37*الافتراضات!$B$5</f>
        <v>64.5</v>
      </c>
      <c r="S37" s="18">
        <f t="shared" si="4"/>
        <v>497.15</v>
      </c>
      <c r="T37" s="19">
        <f t="shared" si="5"/>
        <v>0.61461240310077525</v>
      </c>
      <c r="U37" s="19">
        <f t="shared" si="6"/>
        <v>0.66461240310077518</v>
      </c>
      <c r="V37" s="18">
        <f>(O37+P37)/((1-الافتراضات!$B$4-الافتراضات!$B$5)*(1-الافتراضات!$B$6))</f>
        <v>865.7297297297298</v>
      </c>
      <c r="W37" s="19">
        <f t="shared" si="7"/>
        <v>0.3288916823800544</v>
      </c>
      <c r="X37" s="7" t="s">
        <v>127</v>
      </c>
      <c r="Y37" s="7" t="s">
        <v>469</v>
      </c>
      <c r="Z37" s="7" t="s">
        <v>234</v>
      </c>
      <c r="AA37" s="7" t="s">
        <v>455</v>
      </c>
      <c r="AB37" s="7" t="s">
        <v>336</v>
      </c>
      <c r="AC37" s="7" t="s">
        <v>470</v>
      </c>
      <c r="AD37" s="7" t="s">
        <v>296</v>
      </c>
      <c r="AE37" s="7" t="s">
        <v>471</v>
      </c>
      <c r="AF37" s="7" t="s">
        <v>472</v>
      </c>
      <c r="AG37" s="7" t="s">
        <v>136</v>
      </c>
      <c r="AH37" s="7" t="s">
        <v>137</v>
      </c>
      <c r="AI37" s="7" t="s">
        <v>192</v>
      </c>
      <c r="AJ37" s="7" t="s">
        <v>473</v>
      </c>
      <c r="AK37" s="7">
        <v>78</v>
      </c>
      <c r="AL37" s="7" t="s">
        <v>110</v>
      </c>
      <c r="AM37" s="4" t="s">
        <v>33</v>
      </c>
    </row>
    <row r="38" spans="1:39" ht="54" customHeight="1" x14ac:dyDescent="0.2">
      <c r="A38" s="11">
        <v>37</v>
      </c>
      <c r="B38" s="11" t="s">
        <v>32</v>
      </c>
      <c r="C38" s="11" t="s">
        <v>469</v>
      </c>
      <c r="D38" s="11" t="s">
        <v>474</v>
      </c>
      <c r="E38" s="7" t="s">
        <v>475</v>
      </c>
      <c r="F38" s="7" t="s">
        <v>476</v>
      </c>
      <c r="G38" s="17">
        <v>1990</v>
      </c>
      <c r="H38" s="17">
        <v>2000</v>
      </c>
      <c r="I38" s="17">
        <v>12000</v>
      </c>
      <c r="J38" s="8">
        <v>10</v>
      </c>
      <c r="K38" s="17">
        <v>55</v>
      </c>
      <c r="L38" s="8">
        <v>0.5</v>
      </c>
      <c r="M38" s="17">
        <v>12</v>
      </c>
      <c r="N38" s="17">
        <v>0</v>
      </c>
      <c r="O38" s="18">
        <f>J38*K38+L38*الافتراضات!$B$3+M38+N38</f>
        <v>662</v>
      </c>
      <c r="P38" s="18">
        <f>O38*الافتراضات!$B$7</f>
        <v>26.48</v>
      </c>
      <c r="Q38" s="18">
        <f>G38*الافتراضات!$B$4</f>
        <v>49.75</v>
      </c>
      <c r="R38" s="18">
        <f>G38*الافتراضات!$B$5</f>
        <v>99.5</v>
      </c>
      <c r="S38" s="18">
        <f t="shared" si="4"/>
        <v>837.73</v>
      </c>
      <c r="T38" s="19">
        <f t="shared" si="5"/>
        <v>0.57903015075376885</v>
      </c>
      <c r="U38" s="19">
        <f t="shared" si="6"/>
        <v>0.62903015075376878</v>
      </c>
      <c r="V38" s="18">
        <f>(O38+P38)/((1-الافتراضات!$B$4-الافتراضات!$B$5)*(1-الافتراضات!$B$6))</f>
        <v>1488.6054054054055</v>
      </c>
      <c r="W38" s="19">
        <f t="shared" si="7"/>
        <v>0.25195708271085154</v>
      </c>
      <c r="X38" s="7" t="s">
        <v>127</v>
      </c>
      <c r="Y38" s="7" t="s">
        <v>477</v>
      </c>
      <c r="Z38" s="7" t="s">
        <v>478</v>
      </c>
      <c r="AA38" s="7" t="s">
        <v>479</v>
      </c>
      <c r="AB38" s="7" t="s">
        <v>272</v>
      </c>
      <c r="AC38" s="7" t="s">
        <v>480</v>
      </c>
      <c r="AD38" s="7" t="s">
        <v>296</v>
      </c>
      <c r="AE38" s="7" t="s">
        <v>481</v>
      </c>
      <c r="AF38" s="7" t="s">
        <v>240</v>
      </c>
      <c r="AG38" s="7" t="s">
        <v>136</v>
      </c>
      <c r="AH38" s="7" t="s">
        <v>264</v>
      </c>
      <c r="AI38" s="7" t="s">
        <v>482</v>
      </c>
      <c r="AJ38" s="7" t="s">
        <v>483</v>
      </c>
      <c r="AK38" s="7">
        <v>75</v>
      </c>
      <c r="AL38" s="7" t="s">
        <v>110</v>
      </c>
      <c r="AM38" s="4" t="s">
        <v>33</v>
      </c>
    </row>
    <row r="39" spans="1:39" ht="54" customHeight="1" x14ac:dyDescent="0.2">
      <c r="A39" s="11">
        <v>38</v>
      </c>
      <c r="B39" s="11" t="s">
        <v>32</v>
      </c>
      <c r="C39" s="11" t="s">
        <v>484</v>
      </c>
      <c r="D39" s="11" t="s">
        <v>485</v>
      </c>
      <c r="E39" s="7" t="s">
        <v>486</v>
      </c>
      <c r="F39" s="7" t="s">
        <v>487</v>
      </c>
      <c r="G39" s="17">
        <v>1990</v>
      </c>
      <c r="H39" s="17">
        <v>1500</v>
      </c>
      <c r="I39" s="17">
        <v>10000</v>
      </c>
      <c r="J39" s="8">
        <v>11</v>
      </c>
      <c r="K39" s="17">
        <v>45</v>
      </c>
      <c r="L39" s="8">
        <v>0.4</v>
      </c>
      <c r="M39" s="17">
        <v>15</v>
      </c>
      <c r="N39" s="17">
        <v>0</v>
      </c>
      <c r="O39" s="18">
        <f>J39*K39+L39*الافتراضات!$B$3+M39+N39</f>
        <v>590</v>
      </c>
      <c r="P39" s="18">
        <f>O39*الافتراضات!$B$7</f>
        <v>23.6</v>
      </c>
      <c r="Q39" s="18">
        <f>G39*الافتراضات!$B$4</f>
        <v>49.75</v>
      </c>
      <c r="R39" s="18">
        <f>G39*الافتراضات!$B$5</f>
        <v>99.5</v>
      </c>
      <c r="S39" s="18">
        <f t="shared" si="4"/>
        <v>762.85</v>
      </c>
      <c r="T39" s="19">
        <f t="shared" si="5"/>
        <v>0.61665829145728646</v>
      </c>
      <c r="U39" s="19">
        <f t="shared" si="6"/>
        <v>0.6666582914572865</v>
      </c>
      <c r="V39" s="18">
        <f>(O39+P39)/((1-الافتراضات!$B$4-الافتراضات!$B$5)*(1-الافتراضات!$B$6))</f>
        <v>1326.7027027027029</v>
      </c>
      <c r="W39" s="19">
        <f t="shared" si="7"/>
        <v>0.33331522477251108</v>
      </c>
      <c r="X39" s="7" t="s">
        <v>127</v>
      </c>
      <c r="Y39" s="7" t="s">
        <v>488</v>
      </c>
      <c r="Z39" s="7" t="s">
        <v>489</v>
      </c>
      <c r="AA39" s="7" t="s">
        <v>490</v>
      </c>
      <c r="AB39" s="7" t="s">
        <v>491</v>
      </c>
      <c r="AC39" s="7" t="s">
        <v>337</v>
      </c>
      <c r="AD39" s="7" t="s">
        <v>238</v>
      </c>
      <c r="AE39" s="7" t="s">
        <v>492</v>
      </c>
      <c r="AF39" s="7" t="s">
        <v>493</v>
      </c>
      <c r="AG39" s="7" t="s">
        <v>136</v>
      </c>
      <c r="AH39" s="7" t="s">
        <v>137</v>
      </c>
      <c r="AI39" s="7" t="s">
        <v>192</v>
      </c>
      <c r="AJ39" s="7" t="s">
        <v>494</v>
      </c>
      <c r="AK39" s="7">
        <v>79</v>
      </c>
      <c r="AL39" s="7" t="s">
        <v>110</v>
      </c>
      <c r="AM39" s="4" t="s">
        <v>33</v>
      </c>
    </row>
    <row r="40" spans="1:39" ht="54" customHeight="1" x14ac:dyDescent="0.2">
      <c r="A40" s="11">
        <v>39</v>
      </c>
      <c r="B40" s="11" t="s">
        <v>32</v>
      </c>
      <c r="C40" s="11" t="s">
        <v>495</v>
      </c>
      <c r="D40" s="11" t="s">
        <v>496</v>
      </c>
      <c r="E40" s="7" t="s">
        <v>486</v>
      </c>
      <c r="F40" s="7" t="s">
        <v>497</v>
      </c>
      <c r="G40" s="17">
        <v>2990</v>
      </c>
      <c r="H40" s="17">
        <v>3000</v>
      </c>
      <c r="I40" s="17">
        <v>17000</v>
      </c>
      <c r="J40" s="8">
        <v>16</v>
      </c>
      <c r="K40" s="17">
        <v>50</v>
      </c>
      <c r="L40" s="8">
        <v>0.7</v>
      </c>
      <c r="M40" s="17">
        <v>20</v>
      </c>
      <c r="N40" s="17">
        <v>0</v>
      </c>
      <c r="O40" s="18">
        <f>J40*K40+L40*الافتراضات!$B$3+M40+N40</f>
        <v>960</v>
      </c>
      <c r="P40" s="18">
        <f>O40*الافتراضات!$B$7</f>
        <v>38.4</v>
      </c>
      <c r="Q40" s="18">
        <f>G40*الافتراضات!$B$4</f>
        <v>74.75</v>
      </c>
      <c r="R40" s="18">
        <f>G40*الافتراضات!$B$5</f>
        <v>149.5</v>
      </c>
      <c r="S40" s="18">
        <f t="shared" si="4"/>
        <v>1222.6500000000001</v>
      </c>
      <c r="T40" s="19">
        <f t="shared" si="5"/>
        <v>0.59108695652173915</v>
      </c>
      <c r="U40" s="19">
        <f t="shared" si="6"/>
        <v>0.64108695652173908</v>
      </c>
      <c r="V40" s="18">
        <f>(O40+P40)/((1-الافتراضات!$B$4-الافتراضات!$B$5)*(1-الافتراضات!$B$6))</f>
        <v>2158.7027027027029</v>
      </c>
      <c r="W40" s="19">
        <f t="shared" si="7"/>
        <v>0.27802585193889534</v>
      </c>
      <c r="X40" s="7" t="s">
        <v>255</v>
      </c>
      <c r="Y40" s="7" t="s">
        <v>498</v>
      </c>
      <c r="Z40" s="7" t="s">
        <v>499</v>
      </c>
      <c r="AA40" s="7" t="s">
        <v>500</v>
      </c>
      <c r="AB40" s="7" t="s">
        <v>336</v>
      </c>
      <c r="AC40" s="7" t="s">
        <v>501</v>
      </c>
      <c r="AD40" s="7" t="s">
        <v>227</v>
      </c>
      <c r="AE40" s="7" t="s">
        <v>502</v>
      </c>
      <c r="AF40" s="7" t="s">
        <v>503</v>
      </c>
      <c r="AG40" s="7" t="s">
        <v>136</v>
      </c>
      <c r="AH40" s="7" t="s">
        <v>264</v>
      </c>
      <c r="AI40" s="7" t="s">
        <v>482</v>
      </c>
      <c r="AJ40" s="7" t="s">
        <v>504</v>
      </c>
      <c r="AK40" s="7">
        <v>76</v>
      </c>
      <c r="AL40" s="7" t="s">
        <v>110</v>
      </c>
      <c r="AM40" s="4" t="s">
        <v>33</v>
      </c>
    </row>
    <row r="41" spans="1:39" ht="54" customHeight="1" x14ac:dyDescent="0.2">
      <c r="A41" s="11">
        <v>40</v>
      </c>
      <c r="B41" s="11" t="s">
        <v>32</v>
      </c>
      <c r="C41" s="11" t="s">
        <v>505</v>
      </c>
      <c r="D41" s="11" t="s">
        <v>506</v>
      </c>
      <c r="E41" s="7" t="s">
        <v>507</v>
      </c>
      <c r="F41" s="7" t="s">
        <v>508</v>
      </c>
      <c r="G41" s="17">
        <v>1490</v>
      </c>
      <c r="H41" s="17">
        <v>1000</v>
      </c>
      <c r="I41" s="17">
        <v>7000</v>
      </c>
      <c r="J41" s="8">
        <v>8</v>
      </c>
      <c r="K41" s="17">
        <v>55</v>
      </c>
      <c r="L41" s="8">
        <v>0.35</v>
      </c>
      <c r="M41" s="17">
        <v>10</v>
      </c>
      <c r="N41" s="17">
        <v>0</v>
      </c>
      <c r="O41" s="18">
        <f>J41*K41+L41*الافتراضات!$B$3+M41+N41</f>
        <v>520</v>
      </c>
      <c r="P41" s="18">
        <f>O41*الافتراضات!$B$7</f>
        <v>20.8</v>
      </c>
      <c r="Q41" s="18">
        <f>G41*الافتراضات!$B$4</f>
        <v>37.25</v>
      </c>
      <c r="R41" s="18">
        <f>G41*الافتراضات!$B$5</f>
        <v>74.5</v>
      </c>
      <c r="S41" s="18">
        <f t="shared" si="4"/>
        <v>652.54999999999995</v>
      </c>
      <c r="T41" s="19">
        <f t="shared" si="5"/>
        <v>0.56204697986577179</v>
      </c>
      <c r="U41" s="19">
        <f t="shared" si="6"/>
        <v>0.61204697986577183</v>
      </c>
      <c r="V41" s="18">
        <f>(O41+P41)/((1-الافتراضات!$B$4-الافتراضات!$B$5)*(1-الافتراضات!$B$6))</f>
        <v>1169.2972972972973</v>
      </c>
      <c r="W41" s="19">
        <f t="shared" si="7"/>
        <v>0.21523671322329041</v>
      </c>
      <c r="X41" s="7" t="s">
        <v>127</v>
      </c>
      <c r="Y41" s="7" t="s">
        <v>509</v>
      </c>
      <c r="Z41" s="7" t="s">
        <v>234</v>
      </c>
      <c r="AA41" s="7" t="s">
        <v>510</v>
      </c>
      <c r="AB41" s="7" t="s">
        <v>511</v>
      </c>
      <c r="AC41" s="7" t="s">
        <v>512</v>
      </c>
      <c r="AD41" s="7" t="s">
        <v>158</v>
      </c>
      <c r="AE41" s="7" t="s">
        <v>513</v>
      </c>
      <c r="AF41" s="7" t="s">
        <v>229</v>
      </c>
      <c r="AG41" s="7" t="s">
        <v>136</v>
      </c>
      <c r="AH41" s="7" t="s">
        <v>137</v>
      </c>
      <c r="AI41" s="7" t="s">
        <v>482</v>
      </c>
      <c r="AJ41" s="7" t="s">
        <v>514</v>
      </c>
      <c r="AK41" s="7">
        <v>78</v>
      </c>
      <c r="AL41" s="7" t="s">
        <v>110</v>
      </c>
      <c r="AM41" s="4" t="s">
        <v>33</v>
      </c>
    </row>
    <row r="42" spans="1:39" ht="54" customHeight="1" x14ac:dyDescent="0.2">
      <c r="A42" s="9">
        <v>41</v>
      </c>
      <c r="B42" s="9" t="s">
        <v>34</v>
      </c>
      <c r="C42" s="9" t="s">
        <v>515</v>
      </c>
      <c r="D42" s="9" t="s">
        <v>516</v>
      </c>
      <c r="E42" s="7" t="s">
        <v>360</v>
      </c>
      <c r="F42" s="7" t="s">
        <v>517</v>
      </c>
      <c r="G42" s="17">
        <v>299</v>
      </c>
      <c r="H42" s="17">
        <v>200</v>
      </c>
      <c r="I42" s="17">
        <v>800</v>
      </c>
      <c r="J42" s="8">
        <v>1.4</v>
      </c>
      <c r="K42" s="17">
        <v>40</v>
      </c>
      <c r="L42" s="8">
        <v>0.05</v>
      </c>
      <c r="M42" s="17">
        <v>2</v>
      </c>
      <c r="N42" s="17">
        <v>0</v>
      </c>
      <c r="O42" s="18">
        <f>J42*K42+L42*الافتراضات!$B$3+M42+N42</f>
        <v>68</v>
      </c>
      <c r="P42" s="18">
        <f>O42*الافتراضات!$B$7</f>
        <v>2.72</v>
      </c>
      <c r="Q42" s="18">
        <f>G42*الافتراضات!$B$4</f>
        <v>7.4750000000000005</v>
      </c>
      <c r="R42" s="18">
        <f>G42*الافتراضات!$B$5</f>
        <v>14.950000000000001</v>
      </c>
      <c r="S42" s="18">
        <f t="shared" si="4"/>
        <v>93.144999999999996</v>
      </c>
      <c r="T42" s="19">
        <f t="shared" si="5"/>
        <v>0.68847826086956532</v>
      </c>
      <c r="U42" s="19">
        <f t="shared" si="6"/>
        <v>0.73847826086956525</v>
      </c>
      <c r="V42" s="18">
        <f>(O42+P42)/((1-الافتراضات!$B$4-الافتراضات!$B$5)*(1-الافتراضات!$B$6))</f>
        <v>152.90810810810811</v>
      </c>
      <c r="W42" s="19">
        <f t="shared" si="7"/>
        <v>0.48860164512338428</v>
      </c>
      <c r="X42" s="7" t="s">
        <v>105</v>
      </c>
      <c r="Y42" s="7" t="s">
        <v>518</v>
      </c>
      <c r="Z42" s="7" t="s">
        <v>519</v>
      </c>
      <c r="AA42" s="7" t="s">
        <v>520</v>
      </c>
      <c r="AB42" s="7" t="s">
        <v>521</v>
      </c>
      <c r="AC42" s="7" t="s">
        <v>522</v>
      </c>
      <c r="AD42" s="7" t="s">
        <v>147</v>
      </c>
      <c r="AE42" s="7" t="s">
        <v>523</v>
      </c>
      <c r="AF42" s="7" t="s">
        <v>122</v>
      </c>
      <c r="AG42" s="7" t="s">
        <v>98</v>
      </c>
      <c r="AH42" s="7" t="s">
        <v>99</v>
      </c>
      <c r="AI42" s="7" t="s">
        <v>482</v>
      </c>
      <c r="AJ42" s="7" t="s">
        <v>524</v>
      </c>
      <c r="AK42" s="7">
        <v>85</v>
      </c>
      <c r="AL42" s="7" t="s">
        <v>102</v>
      </c>
      <c r="AM42" s="4" t="s">
        <v>35</v>
      </c>
    </row>
    <row r="43" spans="1:39" ht="54" customHeight="1" x14ac:dyDescent="0.2">
      <c r="A43" s="9">
        <v>42</v>
      </c>
      <c r="B43" s="9" t="s">
        <v>34</v>
      </c>
      <c r="C43" s="9" t="s">
        <v>525</v>
      </c>
      <c r="D43" s="9" t="s">
        <v>526</v>
      </c>
      <c r="E43" s="7" t="s">
        <v>332</v>
      </c>
      <c r="F43" s="7" t="s">
        <v>527</v>
      </c>
      <c r="G43" s="17">
        <v>990</v>
      </c>
      <c r="H43" s="17">
        <v>800</v>
      </c>
      <c r="I43" s="17">
        <v>4000</v>
      </c>
      <c r="J43" s="8">
        <v>4.5</v>
      </c>
      <c r="K43" s="17">
        <v>55</v>
      </c>
      <c r="L43" s="8">
        <v>0.2</v>
      </c>
      <c r="M43" s="17">
        <v>6</v>
      </c>
      <c r="N43" s="17">
        <v>0</v>
      </c>
      <c r="O43" s="18">
        <f>J43*K43+L43*الافتراضات!$B$3+M43+N43</f>
        <v>293.5</v>
      </c>
      <c r="P43" s="18">
        <f>O43*الافتراضات!$B$7</f>
        <v>11.74</v>
      </c>
      <c r="Q43" s="18">
        <f>G43*الافتراضات!$B$4</f>
        <v>24.75</v>
      </c>
      <c r="R43" s="18">
        <f>G43*الافتراضات!$B$5</f>
        <v>49.5</v>
      </c>
      <c r="S43" s="18">
        <f t="shared" si="4"/>
        <v>379.49</v>
      </c>
      <c r="T43" s="19">
        <f t="shared" si="5"/>
        <v>0.61667676767676771</v>
      </c>
      <c r="U43" s="19">
        <f t="shared" si="6"/>
        <v>0.66667676767676765</v>
      </c>
      <c r="V43" s="18">
        <f>(O43+P43)/((1-الافتراضات!$B$4-الافتراضات!$B$5)*(1-الافتراضات!$B$6))</f>
        <v>659.97837837837847</v>
      </c>
      <c r="W43" s="19">
        <f t="shared" si="7"/>
        <v>0.33335517335517328</v>
      </c>
      <c r="X43" s="7" t="s">
        <v>127</v>
      </c>
      <c r="Y43" s="7" t="s">
        <v>528</v>
      </c>
      <c r="Z43" s="7" t="s">
        <v>529</v>
      </c>
      <c r="AA43" s="7" t="s">
        <v>530</v>
      </c>
      <c r="AB43" s="7" t="s">
        <v>385</v>
      </c>
      <c r="AC43" s="7" t="s">
        <v>531</v>
      </c>
      <c r="AD43" s="7" t="s">
        <v>158</v>
      </c>
      <c r="AE43" s="7" t="s">
        <v>532</v>
      </c>
      <c r="AF43" s="7" t="s">
        <v>451</v>
      </c>
      <c r="AG43" s="7" t="s">
        <v>98</v>
      </c>
      <c r="AH43" s="7" t="s">
        <v>137</v>
      </c>
      <c r="AI43" s="7" t="s">
        <v>192</v>
      </c>
      <c r="AJ43" s="7" t="s">
        <v>533</v>
      </c>
      <c r="AK43" s="7">
        <v>82</v>
      </c>
      <c r="AL43" s="7" t="s">
        <v>110</v>
      </c>
      <c r="AM43" s="4" t="s">
        <v>35</v>
      </c>
    </row>
    <row r="44" spans="1:39" ht="54" customHeight="1" x14ac:dyDescent="0.2">
      <c r="A44" s="9">
        <v>43</v>
      </c>
      <c r="B44" s="9" t="s">
        <v>34</v>
      </c>
      <c r="C44" s="9" t="s">
        <v>534</v>
      </c>
      <c r="D44" s="9" t="s">
        <v>534</v>
      </c>
      <c r="E44" s="7" t="s">
        <v>207</v>
      </c>
      <c r="F44" s="7" t="s">
        <v>535</v>
      </c>
      <c r="G44" s="17">
        <v>1490</v>
      </c>
      <c r="H44" s="17">
        <v>945</v>
      </c>
      <c r="I44" s="17">
        <v>3500</v>
      </c>
      <c r="J44" s="8">
        <v>6.5</v>
      </c>
      <c r="K44" s="17">
        <v>40</v>
      </c>
      <c r="L44" s="8">
        <v>0.2</v>
      </c>
      <c r="M44" s="17">
        <v>10</v>
      </c>
      <c r="N44" s="17">
        <v>0</v>
      </c>
      <c r="O44" s="18">
        <f>J44*K44+L44*الافتراضات!$B$3+M44+N44</f>
        <v>310</v>
      </c>
      <c r="P44" s="18">
        <f>O44*الافتراضات!$B$7</f>
        <v>12.4</v>
      </c>
      <c r="Q44" s="18">
        <f>G44*الافتراضات!$B$4</f>
        <v>37.25</v>
      </c>
      <c r="R44" s="18">
        <f>G44*الافتراضات!$B$5</f>
        <v>74.5</v>
      </c>
      <c r="S44" s="18">
        <f t="shared" si="4"/>
        <v>434.15</v>
      </c>
      <c r="T44" s="19">
        <f t="shared" si="5"/>
        <v>0.70862416107382542</v>
      </c>
      <c r="U44" s="19">
        <f t="shared" si="6"/>
        <v>0.75862416107382546</v>
      </c>
      <c r="V44" s="18">
        <f>(O44+P44)/((1-الافتراضات!$B$4-الافتراضات!$B$5)*(1-الافتراضات!$B$6))</f>
        <v>697.08108108108104</v>
      </c>
      <c r="W44" s="19">
        <f t="shared" si="7"/>
        <v>0.53216034826773084</v>
      </c>
      <c r="X44" s="7" t="s">
        <v>536</v>
      </c>
      <c r="Y44" s="7" t="s">
        <v>537</v>
      </c>
      <c r="Z44" s="7" t="s">
        <v>538</v>
      </c>
      <c r="AA44" s="7" t="s">
        <v>539</v>
      </c>
      <c r="AB44" s="7" t="s">
        <v>540</v>
      </c>
      <c r="AC44" s="7" t="s">
        <v>541</v>
      </c>
      <c r="AD44" s="7" t="s">
        <v>542</v>
      </c>
      <c r="AE44" s="7" t="s">
        <v>543</v>
      </c>
      <c r="AF44" s="7" t="s">
        <v>544</v>
      </c>
      <c r="AG44" s="7" t="s">
        <v>545</v>
      </c>
      <c r="AH44" s="7" t="s">
        <v>99</v>
      </c>
      <c r="AI44" s="7" t="s">
        <v>482</v>
      </c>
      <c r="AJ44" s="7" t="s">
        <v>546</v>
      </c>
      <c r="AK44" s="7">
        <v>83</v>
      </c>
      <c r="AL44" s="7" t="s">
        <v>110</v>
      </c>
      <c r="AM44" s="4" t="s">
        <v>35</v>
      </c>
    </row>
    <row r="45" spans="1:39" ht="54" customHeight="1" x14ac:dyDescent="0.2">
      <c r="A45" s="9">
        <v>44</v>
      </c>
      <c r="B45" s="9" t="s">
        <v>34</v>
      </c>
      <c r="C45" s="9" t="s">
        <v>547</v>
      </c>
      <c r="D45" s="9" t="s">
        <v>547</v>
      </c>
      <c r="E45" s="7" t="s">
        <v>548</v>
      </c>
      <c r="F45" s="7" t="s">
        <v>549</v>
      </c>
      <c r="G45" s="17">
        <v>2490</v>
      </c>
      <c r="H45" s="17">
        <v>2299</v>
      </c>
      <c r="I45" s="17">
        <v>6999</v>
      </c>
      <c r="J45" s="8">
        <v>11</v>
      </c>
      <c r="K45" s="17">
        <v>45</v>
      </c>
      <c r="L45" s="8">
        <v>0.35</v>
      </c>
      <c r="M45" s="17">
        <v>15</v>
      </c>
      <c r="N45" s="17">
        <v>200</v>
      </c>
      <c r="O45" s="18">
        <f>J45*K45+L45*الافتراضات!$B$3+M45+N45</f>
        <v>780</v>
      </c>
      <c r="P45" s="18">
        <f>O45*الافتراضات!$B$7</f>
        <v>31.2</v>
      </c>
      <c r="Q45" s="18">
        <f>G45*الافتراضات!$B$4</f>
        <v>62.25</v>
      </c>
      <c r="R45" s="18">
        <f>G45*الافتراضات!$B$5</f>
        <v>124.5</v>
      </c>
      <c r="S45" s="18">
        <f t="shared" si="4"/>
        <v>997.95</v>
      </c>
      <c r="T45" s="19">
        <f t="shared" si="5"/>
        <v>0.59921686746987946</v>
      </c>
      <c r="U45" s="19">
        <f t="shared" si="6"/>
        <v>0.6492168674698795</v>
      </c>
      <c r="V45" s="18">
        <f>(O45+P45)/((1-الافتراضات!$B$4-الافتراضات!$B$5)*(1-الافتراضات!$B$6))</f>
        <v>1753.9459459459463</v>
      </c>
      <c r="W45" s="19">
        <f t="shared" si="7"/>
        <v>0.29560403777271232</v>
      </c>
      <c r="X45" s="7" t="s">
        <v>536</v>
      </c>
      <c r="Y45" s="7" t="s">
        <v>550</v>
      </c>
      <c r="Z45" s="7" t="s">
        <v>538</v>
      </c>
      <c r="AA45" s="7" t="s">
        <v>551</v>
      </c>
      <c r="AB45" s="7" t="s">
        <v>552</v>
      </c>
      <c r="AC45" s="7" t="s">
        <v>553</v>
      </c>
      <c r="AD45" s="7" t="s">
        <v>554</v>
      </c>
      <c r="AE45" s="7" t="s">
        <v>555</v>
      </c>
      <c r="AF45" s="7" t="s">
        <v>544</v>
      </c>
      <c r="AG45" s="7" t="s">
        <v>545</v>
      </c>
      <c r="AH45" s="7" t="s">
        <v>137</v>
      </c>
      <c r="AI45" s="7" t="s">
        <v>482</v>
      </c>
      <c r="AJ45" s="7" t="s">
        <v>181</v>
      </c>
      <c r="AK45" s="7">
        <v>80</v>
      </c>
      <c r="AL45" s="7" t="s">
        <v>110</v>
      </c>
      <c r="AM45" s="4" t="s">
        <v>35</v>
      </c>
    </row>
    <row r="46" spans="1:39" ht="54" customHeight="1" x14ac:dyDescent="0.2">
      <c r="A46" s="9">
        <v>45</v>
      </c>
      <c r="B46" s="9" t="s">
        <v>34</v>
      </c>
      <c r="C46" s="9" t="s">
        <v>556</v>
      </c>
      <c r="D46" s="9" t="s">
        <v>556</v>
      </c>
      <c r="E46" s="7" t="s">
        <v>253</v>
      </c>
      <c r="F46" s="7" t="s">
        <v>557</v>
      </c>
      <c r="G46" s="17">
        <v>3990</v>
      </c>
      <c r="H46" s="17">
        <v>3299</v>
      </c>
      <c r="I46" s="17">
        <v>9000</v>
      </c>
      <c r="J46" s="8">
        <v>18</v>
      </c>
      <c r="K46" s="17">
        <v>50</v>
      </c>
      <c r="L46" s="8">
        <v>0.7</v>
      </c>
      <c r="M46" s="17">
        <v>25</v>
      </c>
      <c r="N46" s="17">
        <v>350</v>
      </c>
      <c r="O46" s="18">
        <f>J46*K46+L46*الافتراضات!$B$3+M46+N46</f>
        <v>1415</v>
      </c>
      <c r="P46" s="18">
        <f>O46*الافتراضات!$B$7</f>
        <v>56.6</v>
      </c>
      <c r="Q46" s="18">
        <f>G46*الافتراضات!$B$4</f>
        <v>99.75</v>
      </c>
      <c r="R46" s="18">
        <f>G46*الافتراضات!$B$5</f>
        <v>199.5</v>
      </c>
      <c r="S46" s="18">
        <f t="shared" si="4"/>
        <v>1770.85</v>
      </c>
      <c r="T46" s="19">
        <f t="shared" si="5"/>
        <v>0.55617794486215544</v>
      </c>
      <c r="U46" s="19">
        <f t="shared" si="6"/>
        <v>0.60617794486215537</v>
      </c>
      <c r="V46" s="18">
        <f>(O46+P46)/((1-الافتراضات!$B$4-الافتراضات!$B$5)*(1-الافتراضات!$B$6))</f>
        <v>3181.8378378378379</v>
      </c>
      <c r="W46" s="19">
        <f t="shared" si="7"/>
        <v>0.20254690781006568</v>
      </c>
      <c r="X46" s="7" t="s">
        <v>536</v>
      </c>
      <c r="Y46" s="7" t="s">
        <v>558</v>
      </c>
      <c r="Z46" s="7" t="s">
        <v>559</v>
      </c>
      <c r="AA46" s="7" t="s">
        <v>560</v>
      </c>
      <c r="AB46" s="7" t="s">
        <v>561</v>
      </c>
      <c r="AC46" s="7" t="s">
        <v>272</v>
      </c>
      <c r="AD46" s="7" t="s">
        <v>554</v>
      </c>
      <c r="AE46" s="7" t="s">
        <v>562</v>
      </c>
      <c r="AF46" s="7" t="s">
        <v>544</v>
      </c>
      <c r="AG46" s="7" t="s">
        <v>545</v>
      </c>
      <c r="AH46" s="7" t="s">
        <v>137</v>
      </c>
      <c r="AI46" s="7" t="s">
        <v>482</v>
      </c>
      <c r="AJ46" s="7" t="s">
        <v>563</v>
      </c>
      <c r="AK46" s="7">
        <v>77</v>
      </c>
      <c r="AL46" s="7" t="s">
        <v>110</v>
      </c>
      <c r="AM46" s="4" t="s">
        <v>35</v>
      </c>
    </row>
    <row r="47" spans="1:39" ht="54" customHeight="1" x14ac:dyDescent="0.2">
      <c r="A47" s="9">
        <v>46</v>
      </c>
      <c r="B47" s="9" t="s">
        <v>34</v>
      </c>
      <c r="C47" s="9" t="s">
        <v>564</v>
      </c>
      <c r="D47" s="9" t="s">
        <v>565</v>
      </c>
      <c r="E47" s="7" t="s">
        <v>566</v>
      </c>
      <c r="F47" s="7" t="s">
        <v>567</v>
      </c>
      <c r="G47" s="17">
        <v>690</v>
      </c>
      <c r="H47" s="17">
        <v>500</v>
      </c>
      <c r="I47" s="17">
        <v>2000</v>
      </c>
      <c r="J47" s="8">
        <v>3</v>
      </c>
      <c r="K47" s="17">
        <v>50</v>
      </c>
      <c r="L47" s="8">
        <v>0.12</v>
      </c>
      <c r="M47" s="17">
        <v>5</v>
      </c>
      <c r="N47" s="17">
        <v>0</v>
      </c>
      <c r="O47" s="18">
        <f>J47*K47+L47*الافتراضات!$B$3+M47+N47</f>
        <v>179</v>
      </c>
      <c r="P47" s="18">
        <f>O47*الافتراضات!$B$7</f>
        <v>7.16</v>
      </c>
      <c r="Q47" s="18">
        <f>G47*الافتراضات!$B$4</f>
        <v>17.25</v>
      </c>
      <c r="R47" s="18">
        <f>G47*الافتراضات!$B$5</f>
        <v>34.5</v>
      </c>
      <c r="S47" s="18">
        <f t="shared" si="4"/>
        <v>237.91</v>
      </c>
      <c r="T47" s="19">
        <f t="shared" si="5"/>
        <v>0.65520289855072467</v>
      </c>
      <c r="U47" s="19">
        <f t="shared" si="6"/>
        <v>0.70520289855072471</v>
      </c>
      <c r="V47" s="18">
        <f>(O47+P47)/((1-الافتراضات!$B$4-الافتراضات!$B$5)*(1-الافتراضات!$B$6))</f>
        <v>402.5081081081081</v>
      </c>
      <c r="W47" s="19">
        <f t="shared" si="7"/>
        <v>0.41665491578535058</v>
      </c>
      <c r="X47" s="7" t="s">
        <v>115</v>
      </c>
      <c r="Y47" s="7" t="s">
        <v>568</v>
      </c>
      <c r="Z47" s="7" t="s">
        <v>569</v>
      </c>
      <c r="AA47" s="7" t="s">
        <v>570</v>
      </c>
      <c r="AB47" s="7" t="s">
        <v>571</v>
      </c>
      <c r="AC47" s="7" t="s">
        <v>572</v>
      </c>
      <c r="AD47" s="7" t="s">
        <v>573</v>
      </c>
      <c r="AE47" s="7" t="s">
        <v>574</v>
      </c>
      <c r="AF47" s="7" t="s">
        <v>135</v>
      </c>
      <c r="AG47" s="7" t="s">
        <v>98</v>
      </c>
      <c r="AH47" s="7" t="s">
        <v>137</v>
      </c>
      <c r="AI47" s="7" t="s">
        <v>482</v>
      </c>
      <c r="AJ47" s="7" t="s">
        <v>575</v>
      </c>
      <c r="AK47" s="7">
        <v>80</v>
      </c>
      <c r="AL47" s="7" t="s">
        <v>110</v>
      </c>
      <c r="AM47" s="4" t="s">
        <v>35</v>
      </c>
    </row>
    <row r="48" spans="1:39" ht="54" customHeight="1" x14ac:dyDescent="0.2">
      <c r="A48" s="9">
        <v>47</v>
      </c>
      <c r="B48" s="9" t="s">
        <v>34</v>
      </c>
      <c r="C48" s="9" t="s">
        <v>576</v>
      </c>
      <c r="D48" s="9" t="s">
        <v>576</v>
      </c>
      <c r="E48" s="7" t="s">
        <v>332</v>
      </c>
      <c r="F48" s="7" t="s">
        <v>577</v>
      </c>
      <c r="G48" s="17">
        <v>990</v>
      </c>
      <c r="H48" s="17">
        <v>800</v>
      </c>
      <c r="I48" s="17">
        <v>3000</v>
      </c>
      <c r="J48" s="8">
        <v>4</v>
      </c>
      <c r="K48" s="17">
        <v>55</v>
      </c>
      <c r="L48" s="8">
        <v>0.15</v>
      </c>
      <c r="M48" s="17">
        <v>6</v>
      </c>
      <c r="N48" s="17">
        <v>0</v>
      </c>
      <c r="O48" s="18">
        <f>J48*K48+L48*الافتراضات!$B$3+M48+N48</f>
        <v>256</v>
      </c>
      <c r="P48" s="18">
        <f>O48*الافتراضات!$B$7</f>
        <v>10.24</v>
      </c>
      <c r="Q48" s="18">
        <f>G48*الافتراضات!$B$4</f>
        <v>24.75</v>
      </c>
      <c r="R48" s="18">
        <f>G48*الافتراضات!$B$5</f>
        <v>49.5</v>
      </c>
      <c r="S48" s="18">
        <f t="shared" si="4"/>
        <v>340.49</v>
      </c>
      <c r="T48" s="19">
        <f t="shared" si="5"/>
        <v>0.65607070707070703</v>
      </c>
      <c r="U48" s="19">
        <f t="shared" si="6"/>
        <v>0.70607070707070707</v>
      </c>
      <c r="V48" s="18">
        <f>(O48+P48)/((1-الافتراضات!$B$4-الافتراضات!$B$5)*(1-الافتراضات!$B$6))</f>
        <v>575.65405405405409</v>
      </c>
      <c r="W48" s="19">
        <f t="shared" si="7"/>
        <v>0.4185312585312585</v>
      </c>
      <c r="X48" s="7" t="s">
        <v>536</v>
      </c>
      <c r="Y48" s="7" t="s">
        <v>578</v>
      </c>
      <c r="Z48" s="7" t="s">
        <v>579</v>
      </c>
      <c r="AA48" s="7" t="s">
        <v>580</v>
      </c>
      <c r="AB48" s="7" t="s">
        <v>581</v>
      </c>
      <c r="AC48" s="7" t="s">
        <v>582</v>
      </c>
      <c r="AD48" s="7" t="s">
        <v>583</v>
      </c>
      <c r="AE48" s="7" t="s">
        <v>584</v>
      </c>
      <c r="AF48" s="7" t="s">
        <v>544</v>
      </c>
      <c r="AG48" s="7" t="s">
        <v>545</v>
      </c>
      <c r="AH48" s="7" t="s">
        <v>137</v>
      </c>
      <c r="AI48" s="7" t="s">
        <v>482</v>
      </c>
      <c r="AJ48" s="7" t="s">
        <v>585</v>
      </c>
      <c r="AK48" s="7">
        <v>83</v>
      </c>
      <c r="AL48" s="7" t="s">
        <v>110</v>
      </c>
      <c r="AM48" s="4" t="s">
        <v>35</v>
      </c>
    </row>
    <row r="49" spans="1:39" ht="54" customHeight="1" x14ac:dyDescent="0.2">
      <c r="A49" s="9">
        <v>48</v>
      </c>
      <c r="B49" s="9" t="s">
        <v>34</v>
      </c>
      <c r="C49" s="9" t="s">
        <v>396</v>
      </c>
      <c r="D49" s="9" t="s">
        <v>586</v>
      </c>
      <c r="E49" s="7" t="s">
        <v>587</v>
      </c>
      <c r="F49" s="7" t="s">
        <v>588</v>
      </c>
      <c r="G49" s="17">
        <v>790</v>
      </c>
      <c r="H49" s="17">
        <v>600</v>
      </c>
      <c r="I49" s="17">
        <v>3000</v>
      </c>
      <c r="J49" s="8">
        <v>3.5</v>
      </c>
      <c r="K49" s="17">
        <v>55</v>
      </c>
      <c r="L49" s="8">
        <v>0.15</v>
      </c>
      <c r="M49" s="17">
        <v>5</v>
      </c>
      <c r="N49" s="17">
        <v>0</v>
      </c>
      <c r="O49" s="18">
        <f>J49*K49+L49*الافتراضات!$B$3+M49+N49</f>
        <v>227.5</v>
      </c>
      <c r="P49" s="18">
        <f>O49*الافتراضات!$B$7</f>
        <v>9.1</v>
      </c>
      <c r="Q49" s="18">
        <f>G49*الافتراضات!$B$4</f>
        <v>19.75</v>
      </c>
      <c r="R49" s="18">
        <f>G49*الافتراضات!$B$5</f>
        <v>39.5</v>
      </c>
      <c r="S49" s="18">
        <f t="shared" si="4"/>
        <v>295.85000000000002</v>
      </c>
      <c r="T49" s="19">
        <f t="shared" si="5"/>
        <v>0.62550632911392401</v>
      </c>
      <c r="U49" s="19">
        <f t="shared" si="6"/>
        <v>0.67550632911392405</v>
      </c>
      <c r="V49" s="18">
        <f>(O49+P49)/((1-الافتراضات!$B$4-الافتراضات!$B$5)*(1-الافتراضات!$B$6))</f>
        <v>511.56756756756761</v>
      </c>
      <c r="W49" s="19">
        <f t="shared" si="7"/>
        <v>0.35244611700307898</v>
      </c>
      <c r="X49" s="7" t="s">
        <v>105</v>
      </c>
      <c r="Y49" s="7" t="s">
        <v>589</v>
      </c>
      <c r="Z49" s="7" t="s">
        <v>590</v>
      </c>
      <c r="AA49" s="7" t="s">
        <v>591</v>
      </c>
      <c r="AB49" s="7" t="s">
        <v>592</v>
      </c>
      <c r="AC49" s="7" t="s">
        <v>593</v>
      </c>
      <c r="AD49" s="7" t="s">
        <v>594</v>
      </c>
      <c r="AE49" s="7" t="s">
        <v>595</v>
      </c>
      <c r="AF49" s="7" t="s">
        <v>276</v>
      </c>
      <c r="AG49" s="7" t="s">
        <v>98</v>
      </c>
      <c r="AH49" s="7" t="s">
        <v>137</v>
      </c>
      <c r="AI49" s="7" t="s">
        <v>192</v>
      </c>
      <c r="AJ49" s="7" t="s">
        <v>596</v>
      </c>
      <c r="AK49" s="7">
        <v>80</v>
      </c>
      <c r="AL49" s="7" t="s">
        <v>110</v>
      </c>
      <c r="AM49" s="4" t="s">
        <v>35</v>
      </c>
    </row>
    <row r="50" spans="1:39" ht="54" customHeight="1" x14ac:dyDescent="0.2">
      <c r="A50" s="6">
        <v>49</v>
      </c>
      <c r="B50" s="6" t="s">
        <v>36</v>
      </c>
      <c r="C50" s="6" t="s">
        <v>597</v>
      </c>
      <c r="D50" s="6" t="s">
        <v>598</v>
      </c>
      <c r="E50" s="7" t="s">
        <v>311</v>
      </c>
      <c r="F50" s="7" t="s">
        <v>599</v>
      </c>
      <c r="G50" s="17">
        <v>149</v>
      </c>
      <c r="H50" s="17">
        <v>100</v>
      </c>
      <c r="I50" s="17">
        <v>500</v>
      </c>
      <c r="J50" s="8">
        <v>0.65</v>
      </c>
      <c r="K50" s="17">
        <v>40</v>
      </c>
      <c r="L50" s="8">
        <v>0.02</v>
      </c>
      <c r="M50" s="17">
        <v>2</v>
      </c>
      <c r="N50" s="17">
        <v>0</v>
      </c>
      <c r="O50" s="18">
        <f>J50*K50+L50*الافتراضات!$B$3+M50+N50</f>
        <v>32</v>
      </c>
      <c r="P50" s="18">
        <f>O50*الافتراضات!$B$7</f>
        <v>1.28</v>
      </c>
      <c r="Q50" s="18">
        <f>G50*الافتراضات!$B$4</f>
        <v>3.7250000000000001</v>
      </c>
      <c r="R50" s="18">
        <f>G50*الافتراضات!$B$5</f>
        <v>7.45</v>
      </c>
      <c r="S50" s="18">
        <f t="shared" si="4"/>
        <v>44.455000000000005</v>
      </c>
      <c r="T50" s="19">
        <f t="shared" si="5"/>
        <v>0.70164429530201333</v>
      </c>
      <c r="U50" s="19">
        <f t="shared" si="6"/>
        <v>0.75164429530201349</v>
      </c>
      <c r="V50" s="18">
        <f>(O50+P50)/((1-الافتراضات!$B$4-الافتراضات!$B$5)*(1-الافتراضات!$B$6))</f>
        <v>71.956756756756761</v>
      </c>
      <c r="W50" s="19">
        <f t="shared" si="7"/>
        <v>0.51706874659894786</v>
      </c>
      <c r="X50" s="7" t="s">
        <v>89</v>
      </c>
      <c r="Y50" s="7" t="s">
        <v>600</v>
      </c>
      <c r="Z50" s="7" t="s">
        <v>374</v>
      </c>
      <c r="AA50" s="7" t="s">
        <v>601</v>
      </c>
      <c r="AB50" s="7" t="s">
        <v>602</v>
      </c>
      <c r="AC50" s="7" t="s">
        <v>603</v>
      </c>
      <c r="AD50" s="7" t="s">
        <v>238</v>
      </c>
      <c r="AE50" s="7" t="s">
        <v>604</v>
      </c>
      <c r="AF50" s="7" t="s">
        <v>97</v>
      </c>
      <c r="AG50" s="7" t="s">
        <v>98</v>
      </c>
      <c r="AH50" s="7" t="s">
        <v>99</v>
      </c>
      <c r="AI50" s="7" t="s">
        <v>192</v>
      </c>
      <c r="AJ50" s="7" t="s">
        <v>605</v>
      </c>
      <c r="AK50" s="7">
        <v>84</v>
      </c>
      <c r="AL50" s="7" t="s">
        <v>110</v>
      </c>
      <c r="AM50" s="4" t="s">
        <v>37</v>
      </c>
    </row>
    <row r="51" spans="1:39" ht="54" customHeight="1" x14ac:dyDescent="0.2">
      <c r="A51" s="6">
        <v>50</v>
      </c>
      <c r="B51" s="6" t="s">
        <v>36</v>
      </c>
      <c r="C51" s="6" t="s">
        <v>606</v>
      </c>
      <c r="D51" s="6" t="s">
        <v>607</v>
      </c>
      <c r="E51" s="7" t="s">
        <v>371</v>
      </c>
      <c r="F51" s="7" t="s">
        <v>608</v>
      </c>
      <c r="G51" s="17">
        <v>249</v>
      </c>
      <c r="H51" s="17">
        <v>150</v>
      </c>
      <c r="I51" s="17">
        <v>700</v>
      </c>
      <c r="J51" s="8">
        <v>1.1000000000000001</v>
      </c>
      <c r="K51" s="17">
        <v>45</v>
      </c>
      <c r="L51" s="8">
        <v>0.04</v>
      </c>
      <c r="M51" s="17">
        <v>3</v>
      </c>
      <c r="N51" s="17">
        <v>0</v>
      </c>
      <c r="O51" s="18">
        <f>J51*K51+L51*الافتراضات!$B$3+M51+N51</f>
        <v>60.500000000000007</v>
      </c>
      <c r="P51" s="18">
        <f>O51*الافتراضات!$B$7</f>
        <v>2.4200000000000004</v>
      </c>
      <c r="Q51" s="18">
        <f>G51*الافتراضات!$B$4</f>
        <v>6.2250000000000005</v>
      </c>
      <c r="R51" s="18">
        <f>G51*الافتراضات!$B$5</f>
        <v>12.450000000000001</v>
      </c>
      <c r="S51" s="18">
        <f t="shared" si="4"/>
        <v>81.595000000000013</v>
      </c>
      <c r="T51" s="19">
        <f t="shared" si="5"/>
        <v>0.6723092369477911</v>
      </c>
      <c r="U51" s="19">
        <f t="shared" si="6"/>
        <v>0.72230923694779114</v>
      </c>
      <c r="V51" s="18">
        <f>(O51+P51)/((1-الافتراضات!$B$4-الافتراضات!$B$5)*(1-الافتراضات!$B$6))</f>
        <v>136.04324324324327</v>
      </c>
      <c r="W51" s="19">
        <f t="shared" si="7"/>
        <v>0.45364159340062943</v>
      </c>
      <c r="X51" s="7" t="s">
        <v>115</v>
      </c>
      <c r="Y51" s="7" t="s">
        <v>609</v>
      </c>
      <c r="Z51" s="7" t="s">
        <v>610</v>
      </c>
      <c r="AA51" s="7" t="s">
        <v>611</v>
      </c>
      <c r="AB51" s="7" t="s">
        <v>612</v>
      </c>
      <c r="AC51" s="7" t="s">
        <v>613</v>
      </c>
      <c r="AD51" s="7" t="s">
        <v>296</v>
      </c>
      <c r="AE51" s="7" t="s">
        <v>614</v>
      </c>
      <c r="AF51" s="7" t="s">
        <v>122</v>
      </c>
      <c r="AG51" s="7" t="s">
        <v>98</v>
      </c>
      <c r="AH51" s="7" t="s">
        <v>99</v>
      </c>
      <c r="AI51" s="7" t="s">
        <v>192</v>
      </c>
      <c r="AJ51" s="7" t="s">
        <v>615</v>
      </c>
      <c r="AK51" s="7">
        <v>84</v>
      </c>
      <c r="AL51" s="7" t="s">
        <v>110</v>
      </c>
      <c r="AM51" s="4" t="s">
        <v>37</v>
      </c>
    </row>
    <row r="52" spans="1:39" ht="54" customHeight="1" x14ac:dyDescent="0.2">
      <c r="A52" s="6">
        <v>51</v>
      </c>
      <c r="B52" s="6" t="s">
        <v>36</v>
      </c>
      <c r="C52" s="6" t="s">
        <v>616</v>
      </c>
      <c r="D52" s="6" t="s">
        <v>616</v>
      </c>
      <c r="E52" s="7" t="s">
        <v>617</v>
      </c>
      <c r="F52" s="7" t="s">
        <v>618</v>
      </c>
      <c r="G52" s="17">
        <v>399</v>
      </c>
      <c r="H52" s="17">
        <v>300</v>
      </c>
      <c r="I52" s="17">
        <v>1200</v>
      </c>
      <c r="J52" s="8">
        <v>1.8</v>
      </c>
      <c r="K52" s="17">
        <v>45</v>
      </c>
      <c r="L52" s="8">
        <v>0.08</v>
      </c>
      <c r="M52" s="17">
        <v>4</v>
      </c>
      <c r="N52" s="17">
        <v>0</v>
      </c>
      <c r="O52" s="18">
        <f>J52*K52+L52*الافتراضات!$B$3+M52+N52</f>
        <v>101</v>
      </c>
      <c r="P52" s="18">
        <f>O52*الافتراضات!$B$7</f>
        <v>4.04</v>
      </c>
      <c r="Q52" s="18">
        <f>G52*الافتراضات!$B$4</f>
        <v>9.9750000000000014</v>
      </c>
      <c r="R52" s="18">
        <f>G52*الافتراضات!$B$5</f>
        <v>19.950000000000003</v>
      </c>
      <c r="S52" s="18">
        <f t="shared" si="4"/>
        <v>134.96500000000003</v>
      </c>
      <c r="T52" s="19">
        <f t="shared" si="5"/>
        <v>0.66174185463659141</v>
      </c>
      <c r="U52" s="19">
        <f t="shared" si="6"/>
        <v>0.71174185463659156</v>
      </c>
      <c r="V52" s="18">
        <f>(O52+P52)/((1-الافتراضات!$B$4-الافتراضات!$B$5)*(1-الافتراضات!$B$6))</f>
        <v>227.11351351351354</v>
      </c>
      <c r="W52" s="19">
        <f t="shared" si="7"/>
        <v>0.4307931992142518</v>
      </c>
      <c r="X52" s="7" t="s">
        <v>115</v>
      </c>
      <c r="Y52" s="7" t="s">
        <v>619</v>
      </c>
      <c r="Z52" s="7" t="s">
        <v>620</v>
      </c>
      <c r="AA52" s="7" t="s">
        <v>621</v>
      </c>
      <c r="AB52" s="7" t="s">
        <v>622</v>
      </c>
      <c r="AC52" s="7" t="s">
        <v>623</v>
      </c>
      <c r="AD52" s="7" t="s">
        <v>238</v>
      </c>
      <c r="AE52" s="7" t="s">
        <v>624</v>
      </c>
      <c r="AF52" s="7" t="s">
        <v>135</v>
      </c>
      <c r="AG52" s="7" t="s">
        <v>136</v>
      </c>
      <c r="AH52" s="7" t="s">
        <v>137</v>
      </c>
      <c r="AI52" s="7" t="s">
        <v>192</v>
      </c>
      <c r="AJ52" s="7" t="s">
        <v>625</v>
      </c>
      <c r="AK52" s="7">
        <v>80</v>
      </c>
      <c r="AL52" s="7" t="s">
        <v>110</v>
      </c>
      <c r="AM52" s="4" t="s">
        <v>37</v>
      </c>
    </row>
    <row r="53" spans="1:39" ht="54" customHeight="1" x14ac:dyDescent="0.2">
      <c r="A53" s="6">
        <v>52</v>
      </c>
      <c r="B53" s="6" t="s">
        <v>36</v>
      </c>
      <c r="C53" s="6" t="s">
        <v>626</v>
      </c>
      <c r="D53" s="6" t="s">
        <v>626</v>
      </c>
      <c r="E53" s="7" t="s">
        <v>627</v>
      </c>
      <c r="F53" s="7" t="s">
        <v>628</v>
      </c>
      <c r="G53" s="17">
        <v>690</v>
      </c>
      <c r="H53" s="17">
        <v>500</v>
      </c>
      <c r="I53" s="17">
        <v>2000</v>
      </c>
      <c r="J53" s="8">
        <v>3.5</v>
      </c>
      <c r="K53" s="17">
        <v>45</v>
      </c>
      <c r="L53" s="8">
        <v>0.1</v>
      </c>
      <c r="M53" s="17">
        <v>5</v>
      </c>
      <c r="N53" s="17">
        <v>0</v>
      </c>
      <c r="O53" s="18">
        <f>J53*K53+L53*الافتراضات!$B$3+M53+N53</f>
        <v>182.5</v>
      </c>
      <c r="P53" s="18">
        <f>O53*الافتراضات!$B$7</f>
        <v>7.3</v>
      </c>
      <c r="Q53" s="18">
        <f>G53*الافتراضات!$B$4</f>
        <v>17.25</v>
      </c>
      <c r="R53" s="18">
        <f>G53*الافتراضات!$B$5</f>
        <v>34.5</v>
      </c>
      <c r="S53" s="18">
        <f t="shared" si="4"/>
        <v>241.55</v>
      </c>
      <c r="T53" s="19">
        <f t="shared" si="5"/>
        <v>0.64992753623188404</v>
      </c>
      <c r="U53" s="19">
        <f t="shared" si="6"/>
        <v>0.69992753623188408</v>
      </c>
      <c r="V53" s="18">
        <f>(O53+P53)/((1-الافتراضات!$B$4-الافتراضات!$B$5)*(1-الافتراضات!$B$6))</f>
        <v>410.37837837837844</v>
      </c>
      <c r="W53" s="19">
        <f t="shared" si="7"/>
        <v>0.40524872698785736</v>
      </c>
      <c r="X53" s="7" t="s">
        <v>115</v>
      </c>
      <c r="Y53" s="7" t="s">
        <v>629</v>
      </c>
      <c r="Z53" s="7" t="s">
        <v>630</v>
      </c>
      <c r="AA53" s="7" t="s">
        <v>631</v>
      </c>
      <c r="AB53" s="7" t="s">
        <v>632</v>
      </c>
      <c r="AC53" s="7" t="s">
        <v>633</v>
      </c>
      <c r="AD53" s="7" t="s">
        <v>296</v>
      </c>
      <c r="AE53" s="7" t="s">
        <v>634</v>
      </c>
      <c r="AF53" s="7" t="s">
        <v>389</v>
      </c>
      <c r="AG53" s="7" t="s">
        <v>98</v>
      </c>
      <c r="AH53" s="7" t="s">
        <v>137</v>
      </c>
      <c r="AI53" s="7" t="s">
        <v>192</v>
      </c>
      <c r="AJ53" s="7" t="s">
        <v>635</v>
      </c>
      <c r="AK53" s="7">
        <v>80</v>
      </c>
      <c r="AL53" s="7" t="s">
        <v>110</v>
      </c>
      <c r="AM53" s="4" t="s">
        <v>37</v>
      </c>
    </row>
    <row r="54" spans="1:39" ht="54" customHeight="1" x14ac:dyDescent="0.2">
      <c r="A54" s="6">
        <v>53</v>
      </c>
      <c r="B54" s="6" t="s">
        <v>36</v>
      </c>
      <c r="C54" s="6" t="s">
        <v>636</v>
      </c>
      <c r="D54" s="6" t="s">
        <v>637</v>
      </c>
      <c r="E54" s="7" t="s">
        <v>617</v>
      </c>
      <c r="F54" s="7" t="s">
        <v>638</v>
      </c>
      <c r="G54" s="17">
        <v>490</v>
      </c>
      <c r="H54" s="17">
        <v>300</v>
      </c>
      <c r="I54" s="17">
        <v>1800</v>
      </c>
      <c r="J54" s="8">
        <v>2.2000000000000002</v>
      </c>
      <c r="K54" s="17">
        <v>45</v>
      </c>
      <c r="L54" s="8">
        <v>0.1</v>
      </c>
      <c r="M54" s="17">
        <v>4</v>
      </c>
      <c r="N54" s="17">
        <v>0</v>
      </c>
      <c r="O54" s="18">
        <f>J54*K54+L54*الافتراضات!$B$3+M54+N54</f>
        <v>123.00000000000001</v>
      </c>
      <c r="P54" s="18">
        <f>O54*الافتراضات!$B$7</f>
        <v>4.9200000000000008</v>
      </c>
      <c r="Q54" s="18">
        <f>G54*الافتراضات!$B$4</f>
        <v>12.25</v>
      </c>
      <c r="R54" s="18">
        <f>G54*الافتراضات!$B$5</f>
        <v>24.5</v>
      </c>
      <c r="S54" s="18">
        <f t="shared" si="4"/>
        <v>164.67000000000002</v>
      </c>
      <c r="T54" s="19">
        <f t="shared" si="5"/>
        <v>0.66393877551020408</v>
      </c>
      <c r="U54" s="19">
        <f t="shared" si="6"/>
        <v>0.71393877551020402</v>
      </c>
      <c r="V54" s="18">
        <f>(O54+P54)/((1-الافتراضات!$B$4-الافتراضات!$B$5)*(1-الافتراضات!$B$6))</f>
        <v>276.58378378378382</v>
      </c>
      <c r="W54" s="19">
        <f t="shared" si="7"/>
        <v>0.4355432984004412</v>
      </c>
      <c r="X54" s="7" t="s">
        <v>153</v>
      </c>
      <c r="Y54" s="7" t="s">
        <v>639</v>
      </c>
      <c r="Z54" s="7" t="s">
        <v>640</v>
      </c>
      <c r="AA54" s="7" t="s">
        <v>641</v>
      </c>
      <c r="AB54" s="7" t="s">
        <v>642</v>
      </c>
      <c r="AC54" s="7" t="s">
        <v>643</v>
      </c>
      <c r="AD54" s="7" t="s">
        <v>238</v>
      </c>
      <c r="AE54" s="7" t="s">
        <v>644</v>
      </c>
      <c r="AF54" s="7" t="s">
        <v>180</v>
      </c>
      <c r="AG54" s="7" t="s">
        <v>136</v>
      </c>
      <c r="AH54" s="7" t="s">
        <v>137</v>
      </c>
      <c r="AI54" s="7" t="s">
        <v>217</v>
      </c>
      <c r="AJ54" s="7" t="s">
        <v>645</v>
      </c>
      <c r="AK54" s="7">
        <v>77</v>
      </c>
      <c r="AL54" s="7" t="s">
        <v>110</v>
      </c>
      <c r="AM54" s="4" t="s">
        <v>37</v>
      </c>
    </row>
    <row r="55" spans="1:39" ht="54" customHeight="1" x14ac:dyDescent="0.2">
      <c r="A55" s="6">
        <v>54</v>
      </c>
      <c r="B55" s="6" t="s">
        <v>36</v>
      </c>
      <c r="C55" s="6" t="s">
        <v>646</v>
      </c>
      <c r="D55" s="6" t="s">
        <v>647</v>
      </c>
      <c r="E55" s="7" t="s">
        <v>332</v>
      </c>
      <c r="F55" s="7" t="s">
        <v>648</v>
      </c>
      <c r="G55" s="17">
        <v>1990</v>
      </c>
      <c r="H55" s="17">
        <v>900</v>
      </c>
      <c r="I55" s="17">
        <v>6000</v>
      </c>
      <c r="J55" s="8">
        <v>7</v>
      </c>
      <c r="K55" s="17">
        <v>50</v>
      </c>
      <c r="L55" s="8">
        <v>0.3</v>
      </c>
      <c r="M55" s="17">
        <v>12</v>
      </c>
      <c r="N55" s="17">
        <v>100</v>
      </c>
      <c r="O55" s="18">
        <f>J55*K55+L55*الافتراضات!$B$3+M55+N55</f>
        <v>522</v>
      </c>
      <c r="P55" s="18">
        <f>O55*الافتراضات!$B$7</f>
        <v>20.88</v>
      </c>
      <c r="Q55" s="18">
        <f>G55*الافتراضات!$B$4</f>
        <v>49.75</v>
      </c>
      <c r="R55" s="18">
        <f>G55*الافتراضات!$B$5</f>
        <v>99.5</v>
      </c>
      <c r="S55" s="18">
        <f t="shared" si="4"/>
        <v>692.13</v>
      </c>
      <c r="T55" s="19">
        <f t="shared" si="5"/>
        <v>0.6521959798994974</v>
      </c>
      <c r="U55" s="19">
        <f t="shared" si="6"/>
        <v>0.70219597989949745</v>
      </c>
      <c r="V55" s="18">
        <f>(O55+P55)/((1-الافتراضات!$B$4-الافتراضات!$B$5)*(1-الافتراضات!$B$6))</f>
        <v>1173.7945945945946</v>
      </c>
      <c r="W55" s="19">
        <f t="shared" si="7"/>
        <v>0.41015347005296754</v>
      </c>
      <c r="X55" s="7" t="s">
        <v>127</v>
      </c>
      <c r="Y55" s="7" t="s">
        <v>649</v>
      </c>
      <c r="Z55" s="7" t="s">
        <v>579</v>
      </c>
      <c r="AA55" s="7" t="s">
        <v>650</v>
      </c>
      <c r="AB55" s="7" t="s">
        <v>651</v>
      </c>
      <c r="AC55" s="7" t="s">
        <v>652</v>
      </c>
      <c r="AD55" s="7" t="s">
        <v>554</v>
      </c>
      <c r="AE55" s="7" t="s">
        <v>653</v>
      </c>
      <c r="AF55" s="7" t="s">
        <v>240</v>
      </c>
      <c r="AG55" s="7" t="s">
        <v>136</v>
      </c>
      <c r="AH55" s="7" t="s">
        <v>264</v>
      </c>
      <c r="AI55" s="7" t="s">
        <v>192</v>
      </c>
      <c r="AJ55" s="7" t="s">
        <v>654</v>
      </c>
      <c r="AK55" s="7">
        <v>75</v>
      </c>
      <c r="AL55" s="7" t="s">
        <v>110</v>
      </c>
      <c r="AM55" s="4" t="s">
        <v>37</v>
      </c>
    </row>
    <row r="56" spans="1:39" ht="54" customHeight="1" x14ac:dyDescent="0.2">
      <c r="A56" s="6">
        <v>55</v>
      </c>
      <c r="B56" s="6" t="s">
        <v>36</v>
      </c>
      <c r="C56" s="6" t="s">
        <v>655</v>
      </c>
      <c r="D56" s="6" t="s">
        <v>656</v>
      </c>
      <c r="E56" s="7" t="s">
        <v>657</v>
      </c>
      <c r="F56" s="7" t="s">
        <v>658</v>
      </c>
      <c r="G56" s="17">
        <v>1490</v>
      </c>
      <c r="H56" s="17">
        <v>990</v>
      </c>
      <c r="I56" s="17">
        <v>4000</v>
      </c>
      <c r="J56" s="8">
        <v>3</v>
      </c>
      <c r="K56" s="17">
        <v>45</v>
      </c>
      <c r="L56" s="8">
        <v>0.08</v>
      </c>
      <c r="M56" s="17">
        <v>5</v>
      </c>
      <c r="N56" s="17">
        <v>300</v>
      </c>
      <c r="O56" s="18">
        <f>J56*K56+L56*الافتراضات!$B$3+M56+N56</f>
        <v>456</v>
      </c>
      <c r="P56" s="18">
        <f>O56*الافتراضات!$B$7</f>
        <v>18.240000000000002</v>
      </c>
      <c r="Q56" s="18">
        <f>G56*الافتراضات!$B$4</f>
        <v>37.25</v>
      </c>
      <c r="R56" s="18">
        <f>G56*الافتراضات!$B$5</f>
        <v>74.5</v>
      </c>
      <c r="S56" s="18">
        <f t="shared" si="4"/>
        <v>585.99</v>
      </c>
      <c r="T56" s="19">
        <f t="shared" si="5"/>
        <v>0.60671812080536913</v>
      </c>
      <c r="U56" s="19">
        <f t="shared" si="6"/>
        <v>0.65671812080536918</v>
      </c>
      <c r="V56" s="18">
        <f>(O56+P56)/((1-الافتراضات!$B$4-الافتراضات!$B$5)*(1-الافتراضات!$B$6))</f>
        <v>1025.3837837837839</v>
      </c>
      <c r="W56" s="19">
        <f t="shared" si="7"/>
        <v>0.31182296390350073</v>
      </c>
      <c r="X56" s="7" t="s">
        <v>127</v>
      </c>
      <c r="Y56" s="7" t="s">
        <v>659</v>
      </c>
      <c r="Z56" s="7" t="s">
        <v>660</v>
      </c>
      <c r="AA56" s="7" t="s">
        <v>661</v>
      </c>
      <c r="AB56" s="7" t="s">
        <v>662</v>
      </c>
      <c r="AC56" s="7" t="s">
        <v>663</v>
      </c>
      <c r="AD56" s="7" t="s">
        <v>238</v>
      </c>
      <c r="AE56" s="7" t="s">
        <v>664</v>
      </c>
      <c r="AF56" s="7" t="s">
        <v>665</v>
      </c>
      <c r="AG56" s="7" t="s">
        <v>98</v>
      </c>
      <c r="AH56" s="7" t="s">
        <v>264</v>
      </c>
      <c r="AI56" s="7" t="s">
        <v>192</v>
      </c>
      <c r="AJ56" s="7" t="s">
        <v>666</v>
      </c>
      <c r="AK56" s="7">
        <v>75</v>
      </c>
      <c r="AL56" s="7" t="s">
        <v>110</v>
      </c>
      <c r="AM56" s="4" t="s">
        <v>37</v>
      </c>
    </row>
    <row r="57" spans="1:39" ht="54" customHeight="1" x14ac:dyDescent="0.2">
      <c r="A57" s="6">
        <v>56</v>
      </c>
      <c r="B57" s="6" t="s">
        <v>36</v>
      </c>
      <c r="C57" s="6" t="s">
        <v>667</v>
      </c>
      <c r="D57" s="6" t="s">
        <v>667</v>
      </c>
      <c r="E57" s="7" t="s">
        <v>220</v>
      </c>
      <c r="F57" s="7" t="s">
        <v>668</v>
      </c>
      <c r="G57" s="17">
        <v>2490</v>
      </c>
      <c r="H57" s="17">
        <v>1800</v>
      </c>
      <c r="I57" s="17">
        <v>7000</v>
      </c>
      <c r="J57" s="8">
        <v>5</v>
      </c>
      <c r="K57" s="17">
        <v>50</v>
      </c>
      <c r="L57" s="8">
        <v>0.15</v>
      </c>
      <c r="M57" s="17">
        <v>8</v>
      </c>
      <c r="N57" s="17">
        <v>450</v>
      </c>
      <c r="O57" s="18">
        <f>J57*K57+L57*الافتراضات!$B$3+M57+N57</f>
        <v>738</v>
      </c>
      <c r="P57" s="18">
        <f>O57*الافتراضات!$B$7</f>
        <v>29.52</v>
      </c>
      <c r="Q57" s="18">
        <f>G57*الافتراضات!$B$4</f>
        <v>62.25</v>
      </c>
      <c r="R57" s="18">
        <f>G57*الافتراضات!$B$5</f>
        <v>124.5</v>
      </c>
      <c r="S57" s="18">
        <f t="shared" si="4"/>
        <v>954.27</v>
      </c>
      <c r="T57" s="19">
        <f t="shared" si="5"/>
        <v>0.61675903614457828</v>
      </c>
      <c r="U57" s="19">
        <f t="shared" si="6"/>
        <v>0.66675903614457832</v>
      </c>
      <c r="V57" s="18">
        <f>(O57+P57)/((1-الافتراضات!$B$4-الافتراضات!$B$5)*(1-الافتراضات!$B$6))</f>
        <v>1659.5027027027029</v>
      </c>
      <c r="W57" s="19">
        <f t="shared" si="7"/>
        <v>0.33353305112341247</v>
      </c>
      <c r="X57" s="7" t="s">
        <v>127</v>
      </c>
      <c r="Y57" s="7" t="s">
        <v>669</v>
      </c>
      <c r="Z57" s="7" t="s">
        <v>528</v>
      </c>
      <c r="AA57" s="7" t="s">
        <v>670</v>
      </c>
      <c r="AB57" s="7" t="s">
        <v>671</v>
      </c>
      <c r="AC57" s="7" t="s">
        <v>672</v>
      </c>
      <c r="AD57" s="7" t="s">
        <v>238</v>
      </c>
      <c r="AE57" s="7" t="s">
        <v>673</v>
      </c>
      <c r="AF57" s="7" t="s">
        <v>674</v>
      </c>
      <c r="AG57" s="7" t="s">
        <v>98</v>
      </c>
      <c r="AH57" s="7" t="s">
        <v>264</v>
      </c>
      <c r="AI57" s="7" t="s">
        <v>192</v>
      </c>
      <c r="AJ57" s="7" t="s">
        <v>675</v>
      </c>
      <c r="AK57" s="7">
        <v>75</v>
      </c>
      <c r="AL57" s="7" t="s">
        <v>110</v>
      </c>
      <c r="AM57" s="4" t="s">
        <v>37</v>
      </c>
    </row>
    <row r="58" spans="1:39" ht="54" customHeight="1" x14ac:dyDescent="0.2">
      <c r="A58" s="9">
        <v>57</v>
      </c>
      <c r="B58" s="9" t="s">
        <v>38</v>
      </c>
      <c r="C58" s="9" t="s">
        <v>569</v>
      </c>
      <c r="D58" s="9" t="s">
        <v>569</v>
      </c>
      <c r="E58" s="7" t="s">
        <v>676</v>
      </c>
      <c r="F58" s="7" t="s">
        <v>677</v>
      </c>
      <c r="G58" s="17">
        <v>1490</v>
      </c>
      <c r="H58" s="17">
        <v>1500</v>
      </c>
      <c r="I58" s="17">
        <v>4000</v>
      </c>
      <c r="J58" s="8">
        <v>7</v>
      </c>
      <c r="K58" s="17">
        <v>50</v>
      </c>
      <c r="L58" s="8">
        <v>0.25</v>
      </c>
      <c r="M58" s="17">
        <v>10</v>
      </c>
      <c r="N58" s="17">
        <v>0</v>
      </c>
      <c r="O58" s="18">
        <f>J58*K58+L58*الافتراضات!$B$3+M58+N58</f>
        <v>410</v>
      </c>
      <c r="P58" s="18">
        <f>O58*الافتراضات!$B$7</f>
        <v>16.399999999999999</v>
      </c>
      <c r="Q58" s="18">
        <f>G58*الافتراضات!$B$4</f>
        <v>37.25</v>
      </c>
      <c r="R58" s="18">
        <f>G58*الافتراضات!$B$5</f>
        <v>74.5</v>
      </c>
      <c r="S58" s="18">
        <f t="shared" si="4"/>
        <v>538.15</v>
      </c>
      <c r="T58" s="19">
        <f t="shared" si="5"/>
        <v>0.63882550335570476</v>
      </c>
      <c r="U58" s="19">
        <f t="shared" si="6"/>
        <v>0.68882550335570458</v>
      </c>
      <c r="V58" s="18">
        <f>(O58+P58)/((1-الافتراضات!$B$4-الافتراضات!$B$5)*(1-الافتراضات!$B$6))</f>
        <v>921.94594594594594</v>
      </c>
      <c r="W58" s="19">
        <f t="shared" si="7"/>
        <v>0.38124433157990206</v>
      </c>
      <c r="X58" s="7" t="s">
        <v>115</v>
      </c>
      <c r="Y58" s="7" t="s">
        <v>678</v>
      </c>
      <c r="Z58" s="7" t="s">
        <v>679</v>
      </c>
      <c r="AA58" s="7" t="s">
        <v>680</v>
      </c>
      <c r="AB58" s="7" t="s">
        <v>681</v>
      </c>
      <c r="AC58" s="7" t="s">
        <v>682</v>
      </c>
      <c r="AD58" s="7" t="s">
        <v>296</v>
      </c>
      <c r="AE58" s="7" t="s">
        <v>683</v>
      </c>
      <c r="AF58" s="7" t="s">
        <v>229</v>
      </c>
      <c r="AG58" s="7" t="s">
        <v>136</v>
      </c>
      <c r="AH58" s="7" t="s">
        <v>137</v>
      </c>
      <c r="AI58" s="7" t="s">
        <v>482</v>
      </c>
      <c r="AJ58" s="7" t="s">
        <v>684</v>
      </c>
      <c r="AK58" s="7">
        <v>77</v>
      </c>
      <c r="AL58" s="7" t="s">
        <v>110</v>
      </c>
      <c r="AM58" s="4" t="s">
        <v>39</v>
      </c>
    </row>
    <row r="59" spans="1:39" ht="54" customHeight="1" x14ac:dyDescent="0.2">
      <c r="A59" s="9">
        <v>58</v>
      </c>
      <c r="B59" s="9" t="s">
        <v>38</v>
      </c>
      <c r="C59" s="9" t="s">
        <v>678</v>
      </c>
      <c r="D59" s="9" t="s">
        <v>685</v>
      </c>
      <c r="E59" s="7" t="s">
        <v>207</v>
      </c>
      <c r="F59" s="7" t="s">
        <v>686</v>
      </c>
      <c r="G59" s="17">
        <v>2490</v>
      </c>
      <c r="H59" s="17">
        <v>1500</v>
      </c>
      <c r="I59" s="17">
        <v>5000</v>
      </c>
      <c r="J59" s="8">
        <v>12</v>
      </c>
      <c r="K59" s="17">
        <v>50</v>
      </c>
      <c r="L59" s="8">
        <v>0.4</v>
      </c>
      <c r="M59" s="17">
        <v>15</v>
      </c>
      <c r="N59" s="17">
        <v>0</v>
      </c>
      <c r="O59" s="18">
        <f>J59*K59+L59*الافتراضات!$B$3+M59+N59</f>
        <v>695</v>
      </c>
      <c r="P59" s="18">
        <f>O59*الافتراضات!$B$7</f>
        <v>27.8</v>
      </c>
      <c r="Q59" s="18">
        <f>G59*الافتراضات!$B$4</f>
        <v>62.25</v>
      </c>
      <c r="R59" s="18">
        <f>G59*الافتراضات!$B$5</f>
        <v>124.5</v>
      </c>
      <c r="S59" s="18">
        <f t="shared" si="4"/>
        <v>909.55</v>
      </c>
      <c r="T59" s="19">
        <f t="shared" si="5"/>
        <v>0.63471887550200801</v>
      </c>
      <c r="U59" s="19">
        <f t="shared" si="6"/>
        <v>0.68471887550200805</v>
      </c>
      <c r="V59" s="18">
        <f>(O59+P59)/((1-الافتراضات!$B$4-الافتراضات!$B$5)*(1-الافتراضات!$B$6))</f>
        <v>1562.8108108108108</v>
      </c>
      <c r="W59" s="19">
        <f t="shared" si="7"/>
        <v>0.37236513622055789</v>
      </c>
      <c r="X59" s="7" t="s">
        <v>127</v>
      </c>
      <c r="Y59" s="7" t="s">
        <v>687</v>
      </c>
      <c r="Z59" s="7" t="s">
        <v>417</v>
      </c>
      <c r="AA59" s="7" t="s">
        <v>688</v>
      </c>
      <c r="AB59" s="7" t="s">
        <v>681</v>
      </c>
      <c r="AC59" s="7" t="s">
        <v>689</v>
      </c>
      <c r="AD59" s="7" t="s">
        <v>238</v>
      </c>
      <c r="AE59" s="7" t="s">
        <v>690</v>
      </c>
      <c r="AF59" s="7" t="s">
        <v>240</v>
      </c>
      <c r="AG59" s="7" t="s">
        <v>136</v>
      </c>
      <c r="AH59" s="7" t="s">
        <v>137</v>
      </c>
      <c r="AI59" s="7" t="s">
        <v>482</v>
      </c>
      <c r="AJ59" s="7" t="s">
        <v>691</v>
      </c>
      <c r="AK59" s="7">
        <v>78</v>
      </c>
      <c r="AL59" s="7" t="s">
        <v>110</v>
      </c>
      <c r="AM59" s="4" t="s">
        <v>39</v>
      </c>
    </row>
    <row r="60" spans="1:39" ht="54" customHeight="1" x14ac:dyDescent="0.2">
      <c r="A60" s="9">
        <v>59</v>
      </c>
      <c r="B60" s="9" t="s">
        <v>38</v>
      </c>
      <c r="C60" s="9" t="s">
        <v>692</v>
      </c>
      <c r="D60" s="9" t="s">
        <v>693</v>
      </c>
      <c r="E60" s="7" t="s">
        <v>332</v>
      </c>
      <c r="F60" s="7" t="s">
        <v>694</v>
      </c>
      <c r="G60" s="17">
        <v>3990</v>
      </c>
      <c r="H60" s="17">
        <v>2500</v>
      </c>
      <c r="I60" s="17">
        <v>15000</v>
      </c>
      <c r="J60" s="8">
        <v>19</v>
      </c>
      <c r="K60" s="17">
        <v>55</v>
      </c>
      <c r="L60" s="8">
        <v>0.7</v>
      </c>
      <c r="M60" s="17">
        <v>25</v>
      </c>
      <c r="N60" s="17">
        <v>0</v>
      </c>
      <c r="O60" s="18">
        <f>J60*K60+L60*الافتراضات!$B$3+M60+N60</f>
        <v>1210</v>
      </c>
      <c r="P60" s="18">
        <f>O60*الافتراضات!$B$7</f>
        <v>48.4</v>
      </c>
      <c r="Q60" s="18">
        <f>G60*الافتراضات!$B$4</f>
        <v>99.75</v>
      </c>
      <c r="R60" s="18">
        <f>G60*الافتراضات!$B$5</f>
        <v>199.5</v>
      </c>
      <c r="S60" s="18">
        <f t="shared" si="4"/>
        <v>1557.65</v>
      </c>
      <c r="T60" s="19">
        <f t="shared" si="5"/>
        <v>0.60961152882205516</v>
      </c>
      <c r="U60" s="19">
        <f t="shared" si="6"/>
        <v>0.65961152882205509</v>
      </c>
      <c r="V60" s="18">
        <f>(O60+P60)/((1-الافتراضات!$B$4-الافتراضات!$B$5)*(1-الافتراضات!$B$6))</f>
        <v>2720.8648648648655</v>
      </c>
      <c r="W60" s="19">
        <f t="shared" si="7"/>
        <v>0.31807898123687584</v>
      </c>
      <c r="X60" s="7" t="s">
        <v>127</v>
      </c>
      <c r="Y60" s="7" t="s">
        <v>695</v>
      </c>
      <c r="Z60" s="7" t="s">
        <v>234</v>
      </c>
      <c r="AA60" s="7" t="s">
        <v>696</v>
      </c>
      <c r="AB60" s="7" t="s">
        <v>681</v>
      </c>
      <c r="AC60" s="7" t="s">
        <v>697</v>
      </c>
      <c r="AD60" s="7" t="s">
        <v>554</v>
      </c>
      <c r="AE60" s="7" t="s">
        <v>698</v>
      </c>
      <c r="AF60" s="7" t="s">
        <v>250</v>
      </c>
      <c r="AG60" s="7" t="s">
        <v>136</v>
      </c>
      <c r="AH60" s="7" t="s">
        <v>137</v>
      </c>
      <c r="AI60" s="7" t="s">
        <v>482</v>
      </c>
      <c r="AJ60" s="7" t="s">
        <v>699</v>
      </c>
      <c r="AK60" s="7">
        <v>75</v>
      </c>
      <c r="AL60" s="7" t="s">
        <v>110</v>
      </c>
      <c r="AM60" s="4" t="s">
        <v>39</v>
      </c>
    </row>
    <row r="61" spans="1:39" ht="54" customHeight="1" x14ac:dyDescent="0.2">
      <c r="A61" s="9">
        <v>60</v>
      </c>
      <c r="B61" s="9" t="s">
        <v>38</v>
      </c>
      <c r="C61" s="9" t="s">
        <v>700</v>
      </c>
      <c r="D61" s="9" t="s">
        <v>701</v>
      </c>
      <c r="E61" s="7" t="s">
        <v>657</v>
      </c>
      <c r="F61" s="7" t="s">
        <v>702</v>
      </c>
      <c r="G61" s="17">
        <v>2490</v>
      </c>
      <c r="H61" s="17">
        <v>2500</v>
      </c>
      <c r="I61" s="17">
        <v>10000</v>
      </c>
      <c r="J61" s="8">
        <v>11</v>
      </c>
      <c r="K61" s="17">
        <v>50</v>
      </c>
      <c r="L61" s="8">
        <v>0.35</v>
      </c>
      <c r="M61" s="17">
        <v>15</v>
      </c>
      <c r="N61" s="17">
        <v>0</v>
      </c>
      <c r="O61" s="18">
        <f>J61*K61+L61*الافتراضات!$B$3+M61+N61</f>
        <v>635</v>
      </c>
      <c r="P61" s="18">
        <f>O61*الافتراضات!$B$7</f>
        <v>25.400000000000002</v>
      </c>
      <c r="Q61" s="18">
        <f>G61*الافتراضات!$B$4</f>
        <v>62.25</v>
      </c>
      <c r="R61" s="18">
        <f>G61*الافتراضات!$B$5</f>
        <v>124.5</v>
      </c>
      <c r="S61" s="18">
        <f t="shared" si="4"/>
        <v>847.15</v>
      </c>
      <c r="T61" s="19">
        <f t="shared" si="5"/>
        <v>0.6597791164658634</v>
      </c>
      <c r="U61" s="19">
        <f t="shared" si="6"/>
        <v>0.70977911646586345</v>
      </c>
      <c r="V61" s="18">
        <f>(O61+P61)/((1-الافتراضات!$B$4-الافتراضات!$B$5)*(1-الافتراضات!$B$6))</f>
        <v>1427.8918918918919</v>
      </c>
      <c r="W61" s="19">
        <f t="shared" si="7"/>
        <v>0.42654944100727232</v>
      </c>
      <c r="X61" s="7" t="s">
        <v>127</v>
      </c>
      <c r="Y61" s="7" t="s">
        <v>659</v>
      </c>
      <c r="Z61" s="7" t="s">
        <v>655</v>
      </c>
      <c r="AA61" s="7" t="s">
        <v>703</v>
      </c>
      <c r="AB61" s="7" t="s">
        <v>704</v>
      </c>
      <c r="AC61" s="7" t="s">
        <v>705</v>
      </c>
      <c r="AD61" s="7" t="s">
        <v>238</v>
      </c>
      <c r="AE61" s="7" t="s">
        <v>706</v>
      </c>
      <c r="AF61" s="7" t="s">
        <v>240</v>
      </c>
      <c r="AG61" s="7" t="s">
        <v>136</v>
      </c>
      <c r="AH61" s="7" t="s">
        <v>137</v>
      </c>
      <c r="AI61" s="7" t="s">
        <v>482</v>
      </c>
      <c r="AJ61" s="7" t="s">
        <v>707</v>
      </c>
      <c r="AK61" s="7">
        <v>78</v>
      </c>
      <c r="AL61" s="7" t="s">
        <v>110</v>
      </c>
      <c r="AM61" s="4" t="s">
        <v>39</v>
      </c>
    </row>
    <row r="62" spans="1:39" ht="54" customHeight="1" x14ac:dyDescent="0.2">
      <c r="A62" s="9">
        <v>61</v>
      </c>
      <c r="B62" s="9" t="s">
        <v>38</v>
      </c>
      <c r="C62" s="9" t="s">
        <v>708</v>
      </c>
      <c r="D62" s="9" t="s">
        <v>708</v>
      </c>
      <c r="E62" s="7" t="s">
        <v>709</v>
      </c>
      <c r="F62" s="7" t="s">
        <v>710</v>
      </c>
      <c r="G62" s="17">
        <v>4990</v>
      </c>
      <c r="H62" s="17">
        <v>5000</v>
      </c>
      <c r="I62" s="17">
        <v>25000</v>
      </c>
      <c r="J62" s="8">
        <v>23</v>
      </c>
      <c r="K62" s="17">
        <v>55</v>
      </c>
      <c r="L62" s="8">
        <v>0.85</v>
      </c>
      <c r="M62" s="17">
        <v>30</v>
      </c>
      <c r="N62" s="17">
        <v>300</v>
      </c>
      <c r="O62" s="18">
        <f>J62*K62+L62*الافتراضات!$B$3+M62+N62</f>
        <v>1765</v>
      </c>
      <c r="P62" s="18">
        <f>O62*الافتراضات!$B$7</f>
        <v>70.600000000000009</v>
      </c>
      <c r="Q62" s="18">
        <f>G62*الافتراضات!$B$4</f>
        <v>124.75</v>
      </c>
      <c r="R62" s="18">
        <f>G62*الافتراضات!$B$5</f>
        <v>249.5</v>
      </c>
      <c r="S62" s="18">
        <f t="shared" si="4"/>
        <v>2209.85</v>
      </c>
      <c r="T62" s="19">
        <f t="shared" si="5"/>
        <v>0.55714428857715437</v>
      </c>
      <c r="U62" s="19">
        <f t="shared" si="6"/>
        <v>0.6071442885771543</v>
      </c>
      <c r="V62" s="18">
        <f>(O62+P62)/((1-الافتراضات!$B$4-الافتراضات!$B$5)*(1-الافتراضات!$B$6))</f>
        <v>3968.864864864865</v>
      </c>
      <c r="W62" s="19">
        <f t="shared" si="7"/>
        <v>0.20463629962627955</v>
      </c>
      <c r="X62" s="7" t="s">
        <v>255</v>
      </c>
      <c r="Y62" s="7" t="s">
        <v>578</v>
      </c>
      <c r="Z62" s="7" t="s">
        <v>559</v>
      </c>
      <c r="AA62" s="7" t="s">
        <v>711</v>
      </c>
      <c r="AB62" s="7" t="s">
        <v>712</v>
      </c>
      <c r="AC62" s="7" t="s">
        <v>713</v>
      </c>
      <c r="AD62" s="7" t="s">
        <v>554</v>
      </c>
      <c r="AE62" s="7" t="s">
        <v>714</v>
      </c>
      <c r="AF62" s="7" t="s">
        <v>263</v>
      </c>
      <c r="AG62" s="7" t="s">
        <v>136</v>
      </c>
      <c r="AH62" s="7" t="s">
        <v>264</v>
      </c>
      <c r="AI62" s="7" t="s">
        <v>482</v>
      </c>
      <c r="AJ62" s="7" t="s">
        <v>715</v>
      </c>
      <c r="AK62" s="7">
        <v>72</v>
      </c>
      <c r="AL62" s="7" t="s">
        <v>110</v>
      </c>
      <c r="AM62" s="4" t="s">
        <v>39</v>
      </c>
    </row>
    <row r="63" spans="1:39" ht="54" customHeight="1" x14ac:dyDescent="0.2">
      <c r="A63" s="9">
        <v>62</v>
      </c>
      <c r="B63" s="9" t="s">
        <v>38</v>
      </c>
      <c r="C63" s="9" t="s">
        <v>716</v>
      </c>
      <c r="D63" s="9" t="s">
        <v>717</v>
      </c>
      <c r="E63" s="7" t="s">
        <v>657</v>
      </c>
      <c r="F63" s="7" t="s">
        <v>718</v>
      </c>
      <c r="G63" s="17">
        <v>690</v>
      </c>
      <c r="H63" s="17">
        <v>500</v>
      </c>
      <c r="I63" s="17">
        <v>2000</v>
      </c>
      <c r="J63" s="8">
        <v>3.8</v>
      </c>
      <c r="K63" s="17">
        <v>40</v>
      </c>
      <c r="L63" s="8">
        <v>0.1</v>
      </c>
      <c r="M63" s="17">
        <v>5</v>
      </c>
      <c r="N63" s="17">
        <v>0</v>
      </c>
      <c r="O63" s="18">
        <f>J63*K63+L63*الافتراضات!$B$3+M63+N63</f>
        <v>177</v>
      </c>
      <c r="P63" s="18">
        <f>O63*الافتراضات!$B$7</f>
        <v>7.08</v>
      </c>
      <c r="Q63" s="18">
        <f>G63*الافتراضات!$B$4</f>
        <v>17.25</v>
      </c>
      <c r="R63" s="18">
        <f>G63*الافتراضات!$B$5</f>
        <v>34.5</v>
      </c>
      <c r="S63" s="18">
        <f t="shared" si="4"/>
        <v>235.83</v>
      </c>
      <c r="T63" s="19">
        <f t="shared" si="5"/>
        <v>0.65821739130434775</v>
      </c>
      <c r="U63" s="19">
        <f t="shared" si="6"/>
        <v>0.7082173913043478</v>
      </c>
      <c r="V63" s="18">
        <f>(O63+P63)/((1-الافتراضات!$B$4-الافتراضات!$B$5)*(1-الافتراضات!$B$6))</f>
        <v>398.01081081081088</v>
      </c>
      <c r="W63" s="19">
        <f t="shared" si="7"/>
        <v>0.42317273795534655</v>
      </c>
      <c r="X63" s="7" t="s">
        <v>153</v>
      </c>
      <c r="Y63" s="7" t="s">
        <v>659</v>
      </c>
      <c r="Z63" s="7" t="s">
        <v>620</v>
      </c>
      <c r="AA63" s="7" t="s">
        <v>719</v>
      </c>
      <c r="AB63" s="7" t="s">
        <v>720</v>
      </c>
      <c r="AC63" s="7" t="s">
        <v>721</v>
      </c>
      <c r="AD63" s="7" t="s">
        <v>378</v>
      </c>
      <c r="AE63" s="7" t="s">
        <v>722</v>
      </c>
      <c r="AF63" s="7" t="s">
        <v>665</v>
      </c>
      <c r="AG63" s="7" t="s">
        <v>98</v>
      </c>
      <c r="AH63" s="7" t="s">
        <v>99</v>
      </c>
      <c r="AI63" s="7" t="s">
        <v>192</v>
      </c>
      <c r="AJ63" s="7" t="s">
        <v>723</v>
      </c>
      <c r="AK63" s="7">
        <v>82</v>
      </c>
      <c r="AL63" s="7" t="s">
        <v>110</v>
      </c>
      <c r="AM63" s="4" t="s">
        <v>39</v>
      </c>
    </row>
    <row r="64" spans="1:39" ht="54" customHeight="1" x14ac:dyDescent="0.2">
      <c r="A64" s="9">
        <v>63</v>
      </c>
      <c r="B64" s="9" t="s">
        <v>38</v>
      </c>
      <c r="C64" s="9" t="s">
        <v>724</v>
      </c>
      <c r="D64" s="9" t="s">
        <v>725</v>
      </c>
      <c r="E64" s="7" t="s">
        <v>726</v>
      </c>
      <c r="F64" s="7" t="s">
        <v>727</v>
      </c>
      <c r="G64" s="17">
        <v>490</v>
      </c>
      <c r="H64" s="17">
        <v>400</v>
      </c>
      <c r="I64" s="17">
        <v>1500</v>
      </c>
      <c r="J64" s="8">
        <v>2.2000000000000002</v>
      </c>
      <c r="K64" s="17">
        <v>50</v>
      </c>
      <c r="L64" s="8">
        <v>0.08</v>
      </c>
      <c r="M64" s="17">
        <v>4</v>
      </c>
      <c r="N64" s="17">
        <v>0</v>
      </c>
      <c r="O64" s="18">
        <f>J64*K64+L64*الافتراضات!$B$3+M64+N64</f>
        <v>130</v>
      </c>
      <c r="P64" s="18">
        <f>O64*الافتراضات!$B$7</f>
        <v>5.2</v>
      </c>
      <c r="Q64" s="18">
        <f>G64*الافتراضات!$B$4</f>
        <v>12.25</v>
      </c>
      <c r="R64" s="18">
        <f>G64*الافتراضات!$B$5</f>
        <v>24.5</v>
      </c>
      <c r="S64" s="18">
        <f t="shared" si="4"/>
        <v>171.95</v>
      </c>
      <c r="T64" s="19">
        <f t="shared" si="5"/>
        <v>0.64908163265306129</v>
      </c>
      <c r="U64" s="19">
        <f t="shared" si="6"/>
        <v>0.69908163265306122</v>
      </c>
      <c r="V64" s="18">
        <f>(O64+P64)/((1-الافتراضات!$B$4-الافتراضات!$B$5)*(1-الافتراضات!$B$6))</f>
        <v>292.32432432432432</v>
      </c>
      <c r="W64" s="19">
        <f t="shared" si="7"/>
        <v>0.40341974627688915</v>
      </c>
      <c r="X64" s="7" t="s">
        <v>153</v>
      </c>
      <c r="Y64" s="7" t="s">
        <v>728</v>
      </c>
      <c r="Z64" s="7" t="s">
        <v>559</v>
      </c>
      <c r="AA64" s="7" t="s">
        <v>729</v>
      </c>
      <c r="AB64" s="7" t="s">
        <v>571</v>
      </c>
      <c r="AC64" s="7" t="s">
        <v>730</v>
      </c>
      <c r="AD64" s="7" t="s">
        <v>573</v>
      </c>
      <c r="AE64" s="7" t="s">
        <v>731</v>
      </c>
      <c r="AF64" s="7" t="s">
        <v>122</v>
      </c>
      <c r="AG64" s="7" t="s">
        <v>98</v>
      </c>
      <c r="AH64" s="7" t="s">
        <v>137</v>
      </c>
      <c r="AI64" s="7" t="s">
        <v>482</v>
      </c>
      <c r="AJ64" s="7" t="s">
        <v>732</v>
      </c>
      <c r="AK64" s="7">
        <v>77</v>
      </c>
      <c r="AL64" s="7" t="s">
        <v>110</v>
      </c>
      <c r="AM64" s="4" t="s">
        <v>39</v>
      </c>
    </row>
    <row r="65" spans="1:39" ht="54" customHeight="1" x14ac:dyDescent="0.2">
      <c r="A65" s="9">
        <v>64</v>
      </c>
      <c r="B65" s="9" t="s">
        <v>38</v>
      </c>
      <c r="C65" s="9" t="s">
        <v>733</v>
      </c>
      <c r="D65" s="9" t="s">
        <v>733</v>
      </c>
      <c r="E65" s="7" t="s">
        <v>587</v>
      </c>
      <c r="F65" s="7" t="s">
        <v>734</v>
      </c>
      <c r="G65" s="17">
        <v>390</v>
      </c>
      <c r="H65" s="17">
        <v>300</v>
      </c>
      <c r="I65" s="17">
        <v>1200</v>
      </c>
      <c r="J65" s="8">
        <v>1.4</v>
      </c>
      <c r="K65" s="17">
        <v>45</v>
      </c>
      <c r="L65" s="8">
        <v>0.03</v>
      </c>
      <c r="M65" s="17">
        <v>5</v>
      </c>
      <c r="N65" s="17">
        <v>0</v>
      </c>
      <c r="O65" s="18">
        <f>J65*K65+L65*الافتراضات!$B$3+M65+N65</f>
        <v>74</v>
      </c>
      <c r="P65" s="18">
        <f>O65*الافتراضات!$B$7</f>
        <v>2.96</v>
      </c>
      <c r="Q65" s="18">
        <f>G65*الافتراضات!$B$4</f>
        <v>9.75</v>
      </c>
      <c r="R65" s="18">
        <f>G65*الافتراضات!$B$5</f>
        <v>19.5</v>
      </c>
      <c r="S65" s="18">
        <f t="shared" si="4"/>
        <v>106.21</v>
      </c>
      <c r="T65" s="19">
        <f t="shared" si="5"/>
        <v>0.72766666666666668</v>
      </c>
      <c r="U65" s="19">
        <f t="shared" si="6"/>
        <v>0.77766666666666673</v>
      </c>
      <c r="V65" s="18">
        <f>(O65+P65)/((1-الافتراضات!$B$4-الافتراضات!$B$5)*(1-الافتراضات!$B$6))</f>
        <v>166.4</v>
      </c>
      <c r="W65" s="19">
        <f t="shared" si="7"/>
        <v>0.57333333333333336</v>
      </c>
      <c r="X65" s="7" t="s">
        <v>536</v>
      </c>
      <c r="Y65" s="7" t="s">
        <v>589</v>
      </c>
      <c r="Z65" s="7" t="s">
        <v>735</v>
      </c>
      <c r="AA65" s="7" t="s">
        <v>736</v>
      </c>
      <c r="AB65" s="7" t="s">
        <v>737</v>
      </c>
      <c r="AC65" s="7" t="s">
        <v>738</v>
      </c>
      <c r="AD65" s="7" t="s">
        <v>739</v>
      </c>
      <c r="AE65" s="7" t="s">
        <v>740</v>
      </c>
      <c r="AF65" s="7" t="s">
        <v>544</v>
      </c>
      <c r="AG65" s="7" t="s">
        <v>741</v>
      </c>
      <c r="AH65" s="7" t="s">
        <v>99</v>
      </c>
      <c r="AI65" s="7" t="s">
        <v>482</v>
      </c>
      <c r="AJ65" s="7" t="s">
        <v>742</v>
      </c>
      <c r="AK65" s="7">
        <v>85</v>
      </c>
      <c r="AL65" s="7" t="s">
        <v>102</v>
      </c>
      <c r="AM65" s="4" t="s">
        <v>39</v>
      </c>
    </row>
    <row r="66" spans="1:39" ht="54" customHeight="1" x14ac:dyDescent="0.2">
      <c r="A66" s="10">
        <v>65</v>
      </c>
      <c r="B66" s="10" t="s">
        <v>40</v>
      </c>
      <c r="C66" s="10" t="s">
        <v>743</v>
      </c>
      <c r="D66" s="10" t="s">
        <v>744</v>
      </c>
      <c r="E66" s="7" t="s">
        <v>332</v>
      </c>
      <c r="F66" s="7" t="s">
        <v>745</v>
      </c>
      <c r="G66" s="17">
        <v>690</v>
      </c>
      <c r="H66" s="17">
        <v>500</v>
      </c>
      <c r="I66" s="17">
        <v>2500</v>
      </c>
      <c r="J66" s="8">
        <v>3.5</v>
      </c>
      <c r="K66" s="17">
        <v>55</v>
      </c>
      <c r="L66" s="8">
        <v>0.15</v>
      </c>
      <c r="M66" s="17">
        <v>5</v>
      </c>
      <c r="N66" s="17">
        <v>0</v>
      </c>
      <c r="O66" s="18">
        <f>J66*K66+L66*الافتراضات!$B$3+M66+N66</f>
        <v>227.5</v>
      </c>
      <c r="P66" s="18">
        <f>O66*الافتراضات!$B$7</f>
        <v>9.1</v>
      </c>
      <c r="Q66" s="18">
        <f>G66*الافتراضات!$B$4</f>
        <v>17.25</v>
      </c>
      <c r="R66" s="18">
        <f>G66*الافتراضات!$B$5</f>
        <v>34.5</v>
      </c>
      <c r="S66" s="18">
        <f t="shared" ref="S66:S97" si="8">SUM(O66:R66)</f>
        <v>288.35000000000002</v>
      </c>
      <c r="T66" s="19">
        <f t="shared" ref="T66:T97" si="9">(G66-S66)/G66</f>
        <v>0.58210144927536234</v>
      </c>
      <c r="U66" s="19">
        <f t="shared" ref="U66:U97" si="10">(G66-(O66+P66+Q66))/G66</f>
        <v>0.63210144927536227</v>
      </c>
      <c r="V66" s="18">
        <f>(O66+P66)/((1-الافتراضات!$B$4-الافتراضات!$B$5)*(1-الافتراضات!$B$6))</f>
        <v>511.56756756756761</v>
      </c>
      <c r="W66" s="19">
        <f t="shared" ref="W66:W97" si="11">MAX(0,(G66-V66)/G66)</f>
        <v>0.25859772816294552</v>
      </c>
      <c r="X66" s="7" t="s">
        <v>105</v>
      </c>
      <c r="Y66" s="7" t="s">
        <v>746</v>
      </c>
      <c r="Z66" s="7" t="s">
        <v>747</v>
      </c>
      <c r="AA66" s="7" t="s">
        <v>748</v>
      </c>
      <c r="AB66" s="7" t="s">
        <v>749</v>
      </c>
      <c r="AC66" s="7" t="s">
        <v>750</v>
      </c>
      <c r="AD66" s="7" t="s">
        <v>751</v>
      </c>
      <c r="AE66" s="7" t="s">
        <v>752</v>
      </c>
      <c r="AF66" s="7" t="s">
        <v>276</v>
      </c>
      <c r="AG66" s="7" t="s">
        <v>98</v>
      </c>
      <c r="AH66" s="7" t="s">
        <v>137</v>
      </c>
      <c r="AI66" s="7" t="s">
        <v>482</v>
      </c>
      <c r="AJ66" s="7" t="s">
        <v>753</v>
      </c>
      <c r="AK66" s="7">
        <v>81</v>
      </c>
      <c r="AL66" s="7" t="s">
        <v>110</v>
      </c>
      <c r="AM66" s="4" t="s">
        <v>41</v>
      </c>
    </row>
    <row r="67" spans="1:39" ht="54" customHeight="1" x14ac:dyDescent="0.2">
      <c r="A67" s="10">
        <v>66</v>
      </c>
      <c r="B67" s="10" t="s">
        <v>40</v>
      </c>
      <c r="C67" s="10" t="s">
        <v>746</v>
      </c>
      <c r="D67" s="10" t="s">
        <v>746</v>
      </c>
      <c r="E67" s="7" t="s">
        <v>371</v>
      </c>
      <c r="F67" s="7" t="s">
        <v>754</v>
      </c>
      <c r="G67" s="17">
        <v>990</v>
      </c>
      <c r="H67" s="17">
        <v>1000</v>
      </c>
      <c r="I67" s="17">
        <v>2000</v>
      </c>
      <c r="J67" s="8">
        <v>4.5</v>
      </c>
      <c r="K67" s="17">
        <v>60</v>
      </c>
      <c r="L67" s="8">
        <v>0.18</v>
      </c>
      <c r="M67" s="17">
        <v>8</v>
      </c>
      <c r="N67" s="17">
        <v>0</v>
      </c>
      <c r="O67" s="18">
        <f>J67*K67+L67*الافتراضات!$B$3+M67+N67</f>
        <v>314</v>
      </c>
      <c r="P67" s="18">
        <f>O67*الافتراضات!$B$7</f>
        <v>12.56</v>
      </c>
      <c r="Q67" s="18">
        <f>G67*الافتراضات!$B$4</f>
        <v>24.75</v>
      </c>
      <c r="R67" s="18">
        <f>G67*الافتراضات!$B$5</f>
        <v>49.5</v>
      </c>
      <c r="S67" s="18">
        <f t="shared" si="8"/>
        <v>400.81</v>
      </c>
      <c r="T67" s="19">
        <f t="shared" si="9"/>
        <v>0.59514141414141419</v>
      </c>
      <c r="U67" s="19">
        <f t="shared" si="10"/>
        <v>0.64514141414141424</v>
      </c>
      <c r="V67" s="18">
        <f>(O67+P67)/((1-الافتراضات!$B$4-الافتراضات!$B$5)*(1-الافتراضات!$B$6))</f>
        <v>706.07567567567571</v>
      </c>
      <c r="W67" s="19">
        <f t="shared" si="11"/>
        <v>0.28679224679224674</v>
      </c>
      <c r="X67" s="7" t="s">
        <v>115</v>
      </c>
      <c r="Y67" s="7" t="s">
        <v>755</v>
      </c>
      <c r="Z67" s="7" t="s">
        <v>756</v>
      </c>
      <c r="AA67" s="7" t="s">
        <v>757</v>
      </c>
      <c r="AB67" s="7" t="s">
        <v>758</v>
      </c>
      <c r="AC67" s="7" t="s">
        <v>759</v>
      </c>
      <c r="AD67" s="7" t="s">
        <v>760</v>
      </c>
      <c r="AE67" s="7" t="s">
        <v>761</v>
      </c>
      <c r="AF67" s="7" t="s">
        <v>665</v>
      </c>
      <c r="AG67" s="7" t="s">
        <v>98</v>
      </c>
      <c r="AH67" s="7" t="s">
        <v>137</v>
      </c>
      <c r="AI67" s="7" t="s">
        <v>482</v>
      </c>
      <c r="AJ67" s="7" t="s">
        <v>762</v>
      </c>
      <c r="AK67" s="7">
        <v>80</v>
      </c>
      <c r="AL67" s="7" t="s">
        <v>110</v>
      </c>
      <c r="AM67" s="4" t="s">
        <v>41</v>
      </c>
    </row>
    <row r="68" spans="1:39" ht="54" customHeight="1" x14ac:dyDescent="0.2">
      <c r="A68" s="10">
        <v>67</v>
      </c>
      <c r="B68" s="10" t="s">
        <v>40</v>
      </c>
      <c r="C68" s="10" t="s">
        <v>755</v>
      </c>
      <c r="D68" s="10" t="s">
        <v>755</v>
      </c>
      <c r="E68" s="7" t="s">
        <v>332</v>
      </c>
      <c r="F68" s="7" t="s">
        <v>763</v>
      </c>
      <c r="G68" s="17">
        <v>1990</v>
      </c>
      <c r="H68" s="17">
        <v>1500</v>
      </c>
      <c r="I68" s="17">
        <v>3500</v>
      </c>
      <c r="J68" s="8">
        <v>8</v>
      </c>
      <c r="K68" s="17">
        <v>60</v>
      </c>
      <c r="L68" s="8">
        <v>0.35</v>
      </c>
      <c r="M68" s="17">
        <v>12</v>
      </c>
      <c r="N68" s="17">
        <v>0</v>
      </c>
      <c r="O68" s="18">
        <f>J68*K68+L68*الافتراضات!$B$3+M68+N68</f>
        <v>562</v>
      </c>
      <c r="P68" s="18">
        <f>O68*الافتراضات!$B$7</f>
        <v>22.48</v>
      </c>
      <c r="Q68" s="18">
        <f>G68*الافتراضات!$B$4</f>
        <v>49.75</v>
      </c>
      <c r="R68" s="18">
        <f>G68*الافتراضات!$B$5</f>
        <v>99.5</v>
      </c>
      <c r="S68" s="18">
        <f t="shared" si="8"/>
        <v>733.73</v>
      </c>
      <c r="T68" s="19">
        <f t="shared" si="9"/>
        <v>0.6312914572864321</v>
      </c>
      <c r="U68" s="19">
        <f t="shared" si="10"/>
        <v>0.68129145728643214</v>
      </c>
      <c r="V68" s="18">
        <f>(O68+P68)/((1-الافتراضات!$B$4-الافتراضات!$B$5)*(1-الافتراضات!$B$6))</f>
        <v>1263.7405405405407</v>
      </c>
      <c r="W68" s="19">
        <f t="shared" si="11"/>
        <v>0.36495450224093434</v>
      </c>
      <c r="X68" s="7" t="s">
        <v>127</v>
      </c>
      <c r="Y68" s="7" t="s">
        <v>764</v>
      </c>
      <c r="Z68" s="7" t="s">
        <v>747</v>
      </c>
      <c r="AA68" s="7" t="s">
        <v>765</v>
      </c>
      <c r="AB68" s="7" t="s">
        <v>766</v>
      </c>
      <c r="AC68" s="7" t="s">
        <v>767</v>
      </c>
      <c r="AD68" s="7" t="s">
        <v>760</v>
      </c>
      <c r="AE68" s="7" t="s">
        <v>768</v>
      </c>
      <c r="AF68" s="7" t="s">
        <v>229</v>
      </c>
      <c r="AG68" s="7" t="s">
        <v>136</v>
      </c>
      <c r="AH68" s="7" t="s">
        <v>137</v>
      </c>
      <c r="AI68" s="7" t="s">
        <v>482</v>
      </c>
      <c r="AJ68" s="7" t="s">
        <v>769</v>
      </c>
      <c r="AK68" s="7">
        <v>78</v>
      </c>
      <c r="AL68" s="7" t="s">
        <v>110</v>
      </c>
      <c r="AM68" s="4" t="s">
        <v>41</v>
      </c>
    </row>
    <row r="69" spans="1:39" ht="54" customHeight="1" x14ac:dyDescent="0.2">
      <c r="A69" s="10">
        <v>68</v>
      </c>
      <c r="B69" s="10" t="s">
        <v>40</v>
      </c>
      <c r="C69" s="10" t="s">
        <v>770</v>
      </c>
      <c r="D69" s="10" t="s">
        <v>771</v>
      </c>
      <c r="E69" s="7" t="s">
        <v>332</v>
      </c>
      <c r="F69" s="7" t="s">
        <v>772</v>
      </c>
      <c r="G69" s="17">
        <v>3990</v>
      </c>
      <c r="H69" s="17">
        <v>3500</v>
      </c>
      <c r="I69" s="17">
        <v>6000</v>
      </c>
      <c r="J69" s="8">
        <v>16</v>
      </c>
      <c r="K69" s="17">
        <v>65</v>
      </c>
      <c r="L69" s="8">
        <v>0.7</v>
      </c>
      <c r="M69" s="17">
        <v>25</v>
      </c>
      <c r="N69" s="17">
        <v>0</v>
      </c>
      <c r="O69" s="18">
        <f>J69*K69+L69*الافتراضات!$B$3+M69+N69</f>
        <v>1205</v>
      </c>
      <c r="P69" s="18">
        <f>O69*الافتراضات!$B$7</f>
        <v>48.2</v>
      </c>
      <c r="Q69" s="18">
        <f>G69*الافتراضات!$B$4</f>
        <v>99.75</v>
      </c>
      <c r="R69" s="18">
        <f>G69*الافتراضات!$B$5</f>
        <v>199.5</v>
      </c>
      <c r="S69" s="18">
        <f t="shared" si="8"/>
        <v>1552.45</v>
      </c>
      <c r="T69" s="19">
        <f t="shared" si="9"/>
        <v>0.61091478696741863</v>
      </c>
      <c r="U69" s="19">
        <f t="shared" si="10"/>
        <v>0.66091478696741857</v>
      </c>
      <c r="V69" s="18">
        <f>(O69+P69)/((1-الافتراضات!$B$4-الافتراضات!$B$5)*(1-الافتراضات!$B$6))</f>
        <v>2709.6216216216221</v>
      </c>
      <c r="W69" s="19">
        <f t="shared" si="11"/>
        <v>0.32089683668631025</v>
      </c>
      <c r="X69" s="7" t="s">
        <v>255</v>
      </c>
      <c r="Y69" s="7" t="s">
        <v>773</v>
      </c>
      <c r="Z69" s="7" t="s">
        <v>774</v>
      </c>
      <c r="AA69" s="7" t="s">
        <v>755</v>
      </c>
      <c r="AB69" s="7" t="s">
        <v>775</v>
      </c>
      <c r="AC69" s="7" t="s">
        <v>776</v>
      </c>
      <c r="AD69" s="7" t="s">
        <v>554</v>
      </c>
      <c r="AE69" s="7" t="s">
        <v>777</v>
      </c>
      <c r="AF69" s="7" t="s">
        <v>250</v>
      </c>
      <c r="AG69" s="7" t="s">
        <v>136</v>
      </c>
      <c r="AH69" s="7" t="s">
        <v>264</v>
      </c>
      <c r="AI69" s="7" t="s">
        <v>482</v>
      </c>
      <c r="AJ69" s="7" t="s">
        <v>778</v>
      </c>
      <c r="AK69" s="7">
        <v>73</v>
      </c>
      <c r="AL69" s="7" t="s">
        <v>110</v>
      </c>
      <c r="AM69" s="4" t="s">
        <v>41</v>
      </c>
    </row>
    <row r="70" spans="1:39" ht="54" customHeight="1" x14ac:dyDescent="0.2">
      <c r="A70" s="10">
        <v>69</v>
      </c>
      <c r="B70" s="10" t="s">
        <v>40</v>
      </c>
      <c r="C70" s="10" t="s">
        <v>779</v>
      </c>
      <c r="D70" s="10" t="s">
        <v>780</v>
      </c>
      <c r="E70" s="7" t="s">
        <v>548</v>
      </c>
      <c r="F70" s="7" t="s">
        <v>781</v>
      </c>
      <c r="G70" s="17">
        <v>1490</v>
      </c>
      <c r="H70" s="17">
        <v>1000</v>
      </c>
      <c r="I70" s="17">
        <v>4000</v>
      </c>
      <c r="J70" s="8">
        <v>6.5</v>
      </c>
      <c r="K70" s="17">
        <v>55</v>
      </c>
      <c r="L70" s="8">
        <v>0.25</v>
      </c>
      <c r="M70" s="17">
        <v>10</v>
      </c>
      <c r="N70" s="17">
        <v>0</v>
      </c>
      <c r="O70" s="18">
        <f>J70*K70+L70*الافتراضات!$B$3+M70+N70</f>
        <v>417.5</v>
      </c>
      <c r="P70" s="18">
        <f>O70*الافتراضات!$B$7</f>
        <v>16.7</v>
      </c>
      <c r="Q70" s="18">
        <f>G70*الافتراضات!$B$4</f>
        <v>37.25</v>
      </c>
      <c r="R70" s="18">
        <f>G70*الافتراضات!$B$5</f>
        <v>74.5</v>
      </c>
      <c r="S70" s="18">
        <f t="shared" si="8"/>
        <v>545.95000000000005</v>
      </c>
      <c r="T70" s="19">
        <f t="shared" si="9"/>
        <v>0.63359060402684564</v>
      </c>
      <c r="U70" s="19">
        <f t="shared" si="10"/>
        <v>0.68359060402684557</v>
      </c>
      <c r="V70" s="18">
        <f>(O70+P70)/((1-الافتراضات!$B$4-الافتراضات!$B$5)*(1-الافتراضات!$B$6))</f>
        <v>938.81081081081084</v>
      </c>
      <c r="W70" s="19">
        <f t="shared" si="11"/>
        <v>0.36992563032831488</v>
      </c>
      <c r="X70" s="7" t="s">
        <v>127</v>
      </c>
      <c r="Y70" s="7" t="s">
        <v>782</v>
      </c>
      <c r="Z70" s="7" t="s">
        <v>783</v>
      </c>
      <c r="AA70" s="7" t="s">
        <v>784</v>
      </c>
      <c r="AB70" s="7" t="s">
        <v>785</v>
      </c>
      <c r="AC70" s="7" t="s">
        <v>786</v>
      </c>
      <c r="AD70" s="7" t="s">
        <v>760</v>
      </c>
      <c r="AE70" s="7" t="s">
        <v>787</v>
      </c>
      <c r="AF70" s="7" t="s">
        <v>451</v>
      </c>
      <c r="AG70" s="7" t="s">
        <v>136</v>
      </c>
      <c r="AH70" s="7" t="s">
        <v>137</v>
      </c>
      <c r="AI70" s="7" t="s">
        <v>482</v>
      </c>
      <c r="AJ70" s="7" t="s">
        <v>788</v>
      </c>
      <c r="AK70" s="7">
        <v>79</v>
      </c>
      <c r="AL70" s="7" t="s">
        <v>110</v>
      </c>
      <c r="AM70" s="4" t="s">
        <v>41</v>
      </c>
    </row>
    <row r="71" spans="1:39" ht="54" customHeight="1" x14ac:dyDescent="0.2">
      <c r="A71" s="10">
        <v>70</v>
      </c>
      <c r="B71" s="10" t="s">
        <v>40</v>
      </c>
      <c r="C71" s="10" t="s">
        <v>789</v>
      </c>
      <c r="D71" s="10" t="s">
        <v>790</v>
      </c>
      <c r="E71" s="7" t="s">
        <v>332</v>
      </c>
      <c r="F71" s="7" t="s">
        <v>791</v>
      </c>
      <c r="G71" s="17">
        <v>2490</v>
      </c>
      <c r="H71" s="17">
        <v>1800</v>
      </c>
      <c r="I71" s="17">
        <v>5000</v>
      </c>
      <c r="J71" s="8">
        <v>10.5</v>
      </c>
      <c r="K71" s="17">
        <v>60</v>
      </c>
      <c r="L71" s="8">
        <v>0.45</v>
      </c>
      <c r="M71" s="17">
        <v>15</v>
      </c>
      <c r="N71" s="17">
        <v>0</v>
      </c>
      <c r="O71" s="18">
        <f>J71*K71+L71*الافتراضات!$B$3+M71+N71</f>
        <v>735</v>
      </c>
      <c r="P71" s="18">
        <f>O71*الافتراضات!$B$7</f>
        <v>29.400000000000002</v>
      </c>
      <c r="Q71" s="18">
        <f>G71*الافتراضات!$B$4</f>
        <v>62.25</v>
      </c>
      <c r="R71" s="18">
        <f>G71*الافتراضات!$B$5</f>
        <v>124.5</v>
      </c>
      <c r="S71" s="18">
        <f t="shared" si="8"/>
        <v>951.15</v>
      </c>
      <c r="T71" s="19">
        <f t="shared" si="9"/>
        <v>0.618012048192771</v>
      </c>
      <c r="U71" s="19">
        <f t="shared" si="10"/>
        <v>0.66801204819277105</v>
      </c>
      <c r="V71" s="18">
        <f>(O71+P71)/((1-الافتراضات!$B$4-الافتراضات!$B$5)*(1-الافتراضات!$B$6))</f>
        <v>1652.7567567567569</v>
      </c>
      <c r="W71" s="19">
        <f t="shared" si="11"/>
        <v>0.33624226636274823</v>
      </c>
      <c r="X71" s="7" t="s">
        <v>127</v>
      </c>
      <c r="Y71" s="7" t="s">
        <v>792</v>
      </c>
      <c r="Z71" s="7" t="s">
        <v>538</v>
      </c>
      <c r="AA71" s="7" t="s">
        <v>793</v>
      </c>
      <c r="AB71" s="7" t="s">
        <v>794</v>
      </c>
      <c r="AC71" s="7" t="s">
        <v>795</v>
      </c>
      <c r="AD71" s="7" t="s">
        <v>760</v>
      </c>
      <c r="AE71" s="7" t="s">
        <v>796</v>
      </c>
      <c r="AF71" s="7" t="s">
        <v>240</v>
      </c>
      <c r="AG71" s="7" t="s">
        <v>136</v>
      </c>
      <c r="AH71" s="7" t="s">
        <v>137</v>
      </c>
      <c r="AI71" s="7" t="s">
        <v>482</v>
      </c>
      <c r="AJ71" s="7" t="s">
        <v>797</v>
      </c>
      <c r="AK71" s="7">
        <v>78</v>
      </c>
      <c r="AL71" s="7" t="s">
        <v>110</v>
      </c>
      <c r="AM71" s="4" t="s">
        <v>41</v>
      </c>
    </row>
    <row r="72" spans="1:39" ht="54" customHeight="1" x14ac:dyDescent="0.2">
      <c r="A72" s="10">
        <v>71</v>
      </c>
      <c r="B72" s="10" t="s">
        <v>40</v>
      </c>
      <c r="C72" s="10" t="s">
        <v>798</v>
      </c>
      <c r="D72" s="10" t="s">
        <v>799</v>
      </c>
      <c r="E72" s="7" t="s">
        <v>393</v>
      </c>
      <c r="F72" s="7" t="s">
        <v>800</v>
      </c>
      <c r="G72" s="17">
        <v>2990</v>
      </c>
      <c r="H72" s="17">
        <v>2500</v>
      </c>
      <c r="I72" s="17">
        <v>8000</v>
      </c>
      <c r="J72" s="8">
        <v>12</v>
      </c>
      <c r="K72" s="17">
        <v>65</v>
      </c>
      <c r="L72" s="8">
        <v>0.5</v>
      </c>
      <c r="M72" s="17">
        <v>20</v>
      </c>
      <c r="N72" s="17">
        <v>0</v>
      </c>
      <c r="O72" s="18">
        <f>J72*K72+L72*الافتراضات!$B$3+M72+N72</f>
        <v>900</v>
      </c>
      <c r="P72" s="18">
        <f>O72*الافتراضات!$B$7</f>
        <v>36</v>
      </c>
      <c r="Q72" s="18">
        <f>G72*الافتراضات!$B$4</f>
        <v>74.75</v>
      </c>
      <c r="R72" s="18">
        <f>G72*الافتراضات!$B$5</f>
        <v>149.5</v>
      </c>
      <c r="S72" s="18">
        <f t="shared" si="8"/>
        <v>1160.25</v>
      </c>
      <c r="T72" s="19">
        <f t="shared" si="9"/>
        <v>0.6119565217391304</v>
      </c>
      <c r="U72" s="19">
        <f t="shared" si="10"/>
        <v>0.66195652173913044</v>
      </c>
      <c r="V72" s="18">
        <f>(O72+P72)/((1-الافتراضات!$B$4-الافتراضات!$B$5)*(1-الافتراضات!$B$6))</f>
        <v>2023.783783783784</v>
      </c>
      <c r="W72" s="19">
        <f t="shared" si="11"/>
        <v>0.32314923619271441</v>
      </c>
      <c r="X72" s="7" t="s">
        <v>127</v>
      </c>
      <c r="Y72" s="7" t="s">
        <v>801</v>
      </c>
      <c r="Z72" s="7" t="s">
        <v>802</v>
      </c>
      <c r="AA72" s="7" t="s">
        <v>803</v>
      </c>
      <c r="AB72" s="7" t="s">
        <v>804</v>
      </c>
      <c r="AC72" s="7" t="s">
        <v>805</v>
      </c>
      <c r="AD72" s="7" t="s">
        <v>760</v>
      </c>
      <c r="AE72" s="7" t="s">
        <v>806</v>
      </c>
      <c r="AF72" s="7" t="s">
        <v>240</v>
      </c>
      <c r="AG72" s="7" t="s">
        <v>136</v>
      </c>
      <c r="AH72" s="7" t="s">
        <v>264</v>
      </c>
      <c r="AI72" s="7" t="s">
        <v>482</v>
      </c>
      <c r="AJ72" s="7" t="s">
        <v>807</v>
      </c>
      <c r="AK72" s="7">
        <v>76</v>
      </c>
      <c r="AL72" s="7" t="s">
        <v>110</v>
      </c>
      <c r="AM72" s="4" t="s">
        <v>41</v>
      </c>
    </row>
    <row r="73" spans="1:39" ht="54" customHeight="1" x14ac:dyDescent="0.2">
      <c r="A73" s="10">
        <v>72</v>
      </c>
      <c r="B73" s="10" t="s">
        <v>40</v>
      </c>
      <c r="C73" s="10" t="s">
        <v>808</v>
      </c>
      <c r="D73" s="10" t="s">
        <v>809</v>
      </c>
      <c r="E73" s="7" t="s">
        <v>332</v>
      </c>
      <c r="F73" s="7" t="s">
        <v>810</v>
      </c>
      <c r="G73" s="17">
        <v>4990</v>
      </c>
      <c r="H73" s="17">
        <v>4000</v>
      </c>
      <c r="I73" s="17">
        <v>12000</v>
      </c>
      <c r="J73" s="8">
        <v>16</v>
      </c>
      <c r="K73" s="17">
        <v>65</v>
      </c>
      <c r="L73" s="8">
        <v>0.75</v>
      </c>
      <c r="M73" s="17">
        <v>35</v>
      </c>
      <c r="N73" s="17">
        <v>200</v>
      </c>
      <c r="O73" s="18">
        <f>J73*K73+L73*الافتراضات!$B$3+M73+N73</f>
        <v>1425</v>
      </c>
      <c r="P73" s="18">
        <f>O73*الافتراضات!$B$7</f>
        <v>57</v>
      </c>
      <c r="Q73" s="18">
        <f>G73*الافتراضات!$B$4</f>
        <v>124.75</v>
      </c>
      <c r="R73" s="18">
        <f>G73*الافتراضات!$B$5</f>
        <v>249.5</v>
      </c>
      <c r="S73" s="18">
        <f t="shared" si="8"/>
        <v>1856.25</v>
      </c>
      <c r="T73" s="19">
        <f t="shared" si="9"/>
        <v>0.62800601202404804</v>
      </c>
      <c r="U73" s="19">
        <f t="shared" si="10"/>
        <v>0.67800601202404809</v>
      </c>
      <c r="V73" s="18">
        <f>(O73+P73)/((1-الافتراضات!$B$4-الافتراضات!$B$5)*(1-الافتراضات!$B$6))</f>
        <v>3204.3243243243246</v>
      </c>
      <c r="W73" s="19">
        <f t="shared" si="11"/>
        <v>0.35785083680875257</v>
      </c>
      <c r="X73" s="7" t="s">
        <v>255</v>
      </c>
      <c r="Y73" s="7" t="s">
        <v>811</v>
      </c>
      <c r="Z73" s="7" t="s">
        <v>812</v>
      </c>
      <c r="AA73" s="7" t="s">
        <v>813</v>
      </c>
      <c r="AB73" s="7" t="s">
        <v>814</v>
      </c>
      <c r="AC73" s="7" t="s">
        <v>776</v>
      </c>
      <c r="AD73" s="7" t="s">
        <v>760</v>
      </c>
      <c r="AE73" s="7" t="s">
        <v>815</v>
      </c>
      <c r="AF73" s="7" t="s">
        <v>816</v>
      </c>
      <c r="AG73" s="7" t="s">
        <v>136</v>
      </c>
      <c r="AH73" s="7" t="s">
        <v>264</v>
      </c>
      <c r="AI73" s="7" t="s">
        <v>482</v>
      </c>
      <c r="AJ73" s="7" t="s">
        <v>817</v>
      </c>
      <c r="AK73" s="7">
        <v>72</v>
      </c>
      <c r="AL73" s="7" t="s">
        <v>110</v>
      </c>
      <c r="AM73" s="4" t="s">
        <v>41</v>
      </c>
    </row>
    <row r="74" spans="1:39" ht="54" customHeight="1" x14ac:dyDescent="0.2">
      <c r="A74" s="9">
        <v>73</v>
      </c>
      <c r="B74" s="9" t="s">
        <v>42</v>
      </c>
      <c r="C74" s="9" t="s">
        <v>818</v>
      </c>
      <c r="D74" s="9" t="s">
        <v>818</v>
      </c>
      <c r="E74" s="7" t="s">
        <v>360</v>
      </c>
      <c r="F74" s="7" t="s">
        <v>819</v>
      </c>
      <c r="G74" s="17">
        <v>490</v>
      </c>
      <c r="H74" s="17">
        <v>350</v>
      </c>
      <c r="I74" s="17">
        <v>1500</v>
      </c>
      <c r="J74" s="8">
        <v>2.4</v>
      </c>
      <c r="K74" s="17">
        <v>50</v>
      </c>
      <c r="L74" s="8">
        <v>0.1</v>
      </c>
      <c r="M74" s="17">
        <v>4</v>
      </c>
      <c r="N74" s="17">
        <v>0</v>
      </c>
      <c r="O74" s="18">
        <f>J74*K74+L74*الافتراضات!$B$3+M74+N74</f>
        <v>144</v>
      </c>
      <c r="P74" s="18">
        <f>O74*الافتراضات!$B$7</f>
        <v>5.76</v>
      </c>
      <c r="Q74" s="18">
        <f>G74*الافتراضات!$B$4</f>
        <v>12.25</v>
      </c>
      <c r="R74" s="18">
        <f>G74*الافتراضات!$B$5</f>
        <v>24.5</v>
      </c>
      <c r="S74" s="18">
        <f t="shared" si="8"/>
        <v>186.51</v>
      </c>
      <c r="T74" s="19">
        <f t="shared" si="9"/>
        <v>0.61936734693877549</v>
      </c>
      <c r="U74" s="19">
        <f t="shared" si="10"/>
        <v>0.66936734693877553</v>
      </c>
      <c r="V74" s="18">
        <f>(O74+P74)/((1-الافتراضات!$B$4-الافتراضات!$B$5)*(1-الافتراضات!$B$6))</f>
        <v>323.80540540540539</v>
      </c>
      <c r="W74" s="19">
        <f t="shared" si="11"/>
        <v>0.33917264202978492</v>
      </c>
      <c r="X74" s="7" t="s">
        <v>105</v>
      </c>
      <c r="Y74" s="7" t="s">
        <v>820</v>
      </c>
      <c r="Z74" s="7" t="s">
        <v>821</v>
      </c>
      <c r="AA74" s="7" t="s">
        <v>822</v>
      </c>
      <c r="AB74" s="7" t="s">
        <v>823</v>
      </c>
      <c r="AC74" s="7" t="s">
        <v>824</v>
      </c>
      <c r="AD74" s="7" t="s">
        <v>594</v>
      </c>
      <c r="AE74" s="7" t="s">
        <v>825</v>
      </c>
      <c r="AF74" s="7" t="s">
        <v>180</v>
      </c>
      <c r="AG74" s="7" t="s">
        <v>98</v>
      </c>
      <c r="AH74" s="7" t="s">
        <v>137</v>
      </c>
      <c r="AI74" s="7" t="s">
        <v>192</v>
      </c>
      <c r="AJ74" s="7" t="s">
        <v>826</v>
      </c>
      <c r="AK74" s="7">
        <v>80</v>
      </c>
      <c r="AL74" s="7" t="s">
        <v>110</v>
      </c>
      <c r="AM74" s="4" t="s">
        <v>43</v>
      </c>
    </row>
    <row r="75" spans="1:39" ht="54" customHeight="1" x14ac:dyDescent="0.2">
      <c r="A75" s="9">
        <v>74</v>
      </c>
      <c r="B75" s="9" t="s">
        <v>42</v>
      </c>
      <c r="C75" s="9" t="s">
        <v>827</v>
      </c>
      <c r="D75" s="9" t="s">
        <v>827</v>
      </c>
      <c r="E75" s="7" t="s">
        <v>332</v>
      </c>
      <c r="F75" s="7" t="s">
        <v>828</v>
      </c>
      <c r="G75" s="17">
        <v>990</v>
      </c>
      <c r="H75" s="17">
        <v>700</v>
      </c>
      <c r="I75" s="17">
        <v>3000</v>
      </c>
      <c r="J75" s="8">
        <v>4.8</v>
      </c>
      <c r="K75" s="17">
        <v>55</v>
      </c>
      <c r="L75" s="8">
        <v>0.2</v>
      </c>
      <c r="M75" s="17">
        <v>6</v>
      </c>
      <c r="N75" s="17">
        <v>0</v>
      </c>
      <c r="O75" s="18">
        <f>J75*K75+L75*الافتراضات!$B$3+M75+N75</f>
        <v>310</v>
      </c>
      <c r="P75" s="18">
        <f>O75*الافتراضات!$B$7</f>
        <v>12.4</v>
      </c>
      <c r="Q75" s="18">
        <f>G75*الافتراضات!$B$4</f>
        <v>24.75</v>
      </c>
      <c r="R75" s="18">
        <f>G75*الافتراضات!$B$5</f>
        <v>49.5</v>
      </c>
      <c r="S75" s="18">
        <f t="shared" si="8"/>
        <v>396.65</v>
      </c>
      <c r="T75" s="19">
        <f t="shared" si="9"/>
        <v>0.5993434343434344</v>
      </c>
      <c r="U75" s="19">
        <f t="shared" si="10"/>
        <v>0.64934343434343433</v>
      </c>
      <c r="V75" s="18">
        <f>(O75+P75)/((1-الافتراضات!$B$4-الافتراضات!$B$5)*(1-الافتراضات!$B$6))</f>
        <v>697.08108108108104</v>
      </c>
      <c r="W75" s="19">
        <f t="shared" si="11"/>
        <v>0.29587769587769591</v>
      </c>
      <c r="X75" s="7" t="s">
        <v>127</v>
      </c>
      <c r="Y75" s="7" t="s">
        <v>829</v>
      </c>
      <c r="Z75" s="7" t="s">
        <v>830</v>
      </c>
      <c r="AA75" s="7" t="s">
        <v>831</v>
      </c>
      <c r="AB75" s="7" t="s">
        <v>832</v>
      </c>
      <c r="AC75" s="7" t="s">
        <v>833</v>
      </c>
      <c r="AD75" s="7" t="s">
        <v>378</v>
      </c>
      <c r="AE75" s="7" t="s">
        <v>834</v>
      </c>
      <c r="AF75" s="7" t="s">
        <v>451</v>
      </c>
      <c r="AG75" s="7" t="s">
        <v>98</v>
      </c>
      <c r="AH75" s="7" t="s">
        <v>137</v>
      </c>
      <c r="AI75" s="7" t="s">
        <v>192</v>
      </c>
      <c r="AJ75" s="7" t="s">
        <v>835</v>
      </c>
      <c r="AK75" s="7">
        <v>82</v>
      </c>
      <c r="AL75" s="7" t="s">
        <v>110</v>
      </c>
      <c r="AM75" s="4" t="s">
        <v>43</v>
      </c>
    </row>
    <row r="76" spans="1:39" ht="54" customHeight="1" x14ac:dyDescent="0.2">
      <c r="A76" s="9">
        <v>75</v>
      </c>
      <c r="B76" s="9" t="s">
        <v>42</v>
      </c>
      <c r="C76" s="9" t="s">
        <v>836</v>
      </c>
      <c r="D76" s="9" t="s">
        <v>836</v>
      </c>
      <c r="E76" s="7" t="s">
        <v>371</v>
      </c>
      <c r="F76" s="7" t="s">
        <v>837</v>
      </c>
      <c r="G76" s="17">
        <v>690</v>
      </c>
      <c r="H76" s="17">
        <v>500</v>
      </c>
      <c r="I76" s="17">
        <v>2000</v>
      </c>
      <c r="J76" s="8">
        <v>3.2</v>
      </c>
      <c r="K76" s="17">
        <v>55</v>
      </c>
      <c r="L76" s="8">
        <v>0.12</v>
      </c>
      <c r="M76" s="17">
        <v>5</v>
      </c>
      <c r="N76" s="17">
        <v>0</v>
      </c>
      <c r="O76" s="18">
        <f>J76*K76+L76*الافتراضات!$B$3+M76+N76</f>
        <v>205</v>
      </c>
      <c r="P76" s="18">
        <f>O76*الافتراضات!$B$7</f>
        <v>8.1999999999999993</v>
      </c>
      <c r="Q76" s="18">
        <f>G76*الافتراضات!$B$4</f>
        <v>17.25</v>
      </c>
      <c r="R76" s="18">
        <f>G76*الافتراضات!$B$5</f>
        <v>34.5</v>
      </c>
      <c r="S76" s="18">
        <f t="shared" si="8"/>
        <v>264.95</v>
      </c>
      <c r="T76" s="19">
        <f t="shared" si="9"/>
        <v>0.61601449275362319</v>
      </c>
      <c r="U76" s="19">
        <f t="shared" si="10"/>
        <v>0.66601449275362323</v>
      </c>
      <c r="V76" s="18">
        <f>(O76+P76)/((1-الافتراضات!$B$4-الافتراضات!$B$5)*(1-الافتراضات!$B$6))</f>
        <v>460.97297297297297</v>
      </c>
      <c r="W76" s="19">
        <f t="shared" si="11"/>
        <v>0.33192322757540149</v>
      </c>
      <c r="X76" s="7" t="s">
        <v>115</v>
      </c>
      <c r="Y76" s="7" t="s">
        <v>838</v>
      </c>
      <c r="Z76" s="7" t="s">
        <v>839</v>
      </c>
      <c r="AA76" s="7" t="s">
        <v>840</v>
      </c>
      <c r="AB76" s="7" t="s">
        <v>841</v>
      </c>
      <c r="AC76" s="7" t="s">
        <v>842</v>
      </c>
      <c r="AD76" s="7" t="s">
        <v>158</v>
      </c>
      <c r="AE76" s="7" t="s">
        <v>843</v>
      </c>
      <c r="AF76" s="7" t="s">
        <v>276</v>
      </c>
      <c r="AG76" s="7" t="s">
        <v>98</v>
      </c>
      <c r="AH76" s="7" t="s">
        <v>137</v>
      </c>
      <c r="AI76" s="7" t="s">
        <v>192</v>
      </c>
      <c r="AJ76" s="7" t="s">
        <v>844</v>
      </c>
      <c r="AK76" s="7">
        <v>80</v>
      </c>
      <c r="AL76" s="7" t="s">
        <v>110</v>
      </c>
      <c r="AM76" s="4" t="s">
        <v>43</v>
      </c>
    </row>
    <row r="77" spans="1:39" ht="54" customHeight="1" x14ac:dyDescent="0.2">
      <c r="A77" s="9">
        <v>76</v>
      </c>
      <c r="B77" s="9" t="s">
        <v>42</v>
      </c>
      <c r="C77" s="9" t="s">
        <v>845</v>
      </c>
      <c r="D77" s="9" t="s">
        <v>846</v>
      </c>
      <c r="E77" s="7" t="s">
        <v>847</v>
      </c>
      <c r="F77" s="7" t="s">
        <v>848</v>
      </c>
      <c r="G77" s="17">
        <v>390</v>
      </c>
      <c r="H77" s="17">
        <v>250</v>
      </c>
      <c r="I77" s="17">
        <v>1200</v>
      </c>
      <c r="J77" s="8">
        <v>1.8</v>
      </c>
      <c r="K77" s="17">
        <v>50</v>
      </c>
      <c r="L77" s="8">
        <v>0.06</v>
      </c>
      <c r="M77" s="17">
        <v>3</v>
      </c>
      <c r="N77" s="17">
        <v>0</v>
      </c>
      <c r="O77" s="18">
        <f>J77*K77+L77*الافتراضات!$B$3+M77+N77</f>
        <v>105</v>
      </c>
      <c r="P77" s="18">
        <f>O77*الافتراضات!$B$7</f>
        <v>4.2</v>
      </c>
      <c r="Q77" s="18">
        <f>G77*الافتراضات!$B$4</f>
        <v>9.75</v>
      </c>
      <c r="R77" s="18">
        <f>G77*الافتراضات!$B$5</f>
        <v>19.5</v>
      </c>
      <c r="S77" s="18">
        <f t="shared" si="8"/>
        <v>138.44999999999999</v>
      </c>
      <c r="T77" s="19">
        <f t="shared" si="9"/>
        <v>0.64500000000000002</v>
      </c>
      <c r="U77" s="19">
        <f t="shared" si="10"/>
        <v>0.69500000000000006</v>
      </c>
      <c r="V77" s="18">
        <f>(O77+P77)/((1-الافتراضات!$B$4-الافتراضات!$B$5)*(1-الافتراضات!$B$6))</f>
        <v>236.10810810810813</v>
      </c>
      <c r="W77" s="19">
        <f t="shared" si="11"/>
        <v>0.39459459459459456</v>
      </c>
      <c r="X77" s="7" t="s">
        <v>115</v>
      </c>
      <c r="Y77" s="7" t="s">
        <v>849</v>
      </c>
      <c r="Z77" s="7" t="s">
        <v>850</v>
      </c>
      <c r="AA77" s="7" t="s">
        <v>851</v>
      </c>
      <c r="AB77" s="7" t="s">
        <v>852</v>
      </c>
      <c r="AC77" s="7" t="s">
        <v>853</v>
      </c>
      <c r="AD77" s="7" t="s">
        <v>378</v>
      </c>
      <c r="AE77" s="7" t="s">
        <v>854</v>
      </c>
      <c r="AF77" s="7" t="s">
        <v>122</v>
      </c>
      <c r="AG77" s="7" t="s">
        <v>98</v>
      </c>
      <c r="AH77" s="7" t="s">
        <v>99</v>
      </c>
      <c r="AI77" s="7" t="s">
        <v>192</v>
      </c>
      <c r="AJ77" s="7" t="s">
        <v>855</v>
      </c>
      <c r="AK77" s="7">
        <v>82</v>
      </c>
      <c r="AL77" s="7" t="s">
        <v>110</v>
      </c>
      <c r="AM77" s="4" t="s">
        <v>43</v>
      </c>
    </row>
    <row r="78" spans="1:39" ht="54" customHeight="1" x14ac:dyDescent="0.2">
      <c r="A78" s="9">
        <v>77</v>
      </c>
      <c r="B78" s="9" t="s">
        <v>42</v>
      </c>
      <c r="C78" s="9" t="s">
        <v>856</v>
      </c>
      <c r="D78" s="9" t="s">
        <v>856</v>
      </c>
      <c r="E78" s="7" t="s">
        <v>486</v>
      </c>
      <c r="F78" s="7" t="s">
        <v>857</v>
      </c>
      <c r="G78" s="17">
        <v>790</v>
      </c>
      <c r="H78" s="17">
        <v>600</v>
      </c>
      <c r="I78" s="17">
        <v>2500</v>
      </c>
      <c r="J78" s="8">
        <v>3.8</v>
      </c>
      <c r="K78" s="17">
        <v>55</v>
      </c>
      <c r="L78" s="8">
        <v>0.15</v>
      </c>
      <c r="M78" s="17">
        <v>5</v>
      </c>
      <c r="N78" s="17">
        <v>0</v>
      </c>
      <c r="O78" s="18">
        <f>J78*K78+L78*الافتراضات!$B$3+M78+N78</f>
        <v>244</v>
      </c>
      <c r="P78" s="18">
        <f>O78*الافتراضات!$B$7</f>
        <v>9.76</v>
      </c>
      <c r="Q78" s="18">
        <f>G78*الافتراضات!$B$4</f>
        <v>19.75</v>
      </c>
      <c r="R78" s="18">
        <f>G78*الافتراضات!$B$5</f>
        <v>39.5</v>
      </c>
      <c r="S78" s="18">
        <f t="shared" si="8"/>
        <v>313.01</v>
      </c>
      <c r="T78" s="19">
        <f t="shared" si="9"/>
        <v>0.60378481012658225</v>
      </c>
      <c r="U78" s="19">
        <f t="shared" si="10"/>
        <v>0.65378481012658229</v>
      </c>
      <c r="V78" s="18">
        <f>(O78+P78)/((1-الافتراضات!$B$4-الافتراضات!$B$5)*(1-الافتراضات!$B$6))</f>
        <v>548.67027027027029</v>
      </c>
      <c r="W78" s="19">
        <f t="shared" si="11"/>
        <v>0.30548067054396166</v>
      </c>
      <c r="X78" s="7" t="s">
        <v>115</v>
      </c>
      <c r="Y78" s="7" t="s">
        <v>858</v>
      </c>
      <c r="Z78" s="7" t="s">
        <v>499</v>
      </c>
      <c r="AA78" s="7" t="s">
        <v>859</v>
      </c>
      <c r="AB78" s="7" t="s">
        <v>860</v>
      </c>
      <c r="AC78" s="7" t="s">
        <v>501</v>
      </c>
      <c r="AD78" s="7" t="s">
        <v>378</v>
      </c>
      <c r="AE78" s="7" t="s">
        <v>787</v>
      </c>
      <c r="AF78" s="7" t="s">
        <v>276</v>
      </c>
      <c r="AG78" s="7" t="s">
        <v>98</v>
      </c>
      <c r="AH78" s="7" t="s">
        <v>137</v>
      </c>
      <c r="AI78" s="7" t="s">
        <v>482</v>
      </c>
      <c r="AJ78" s="7" t="s">
        <v>861</v>
      </c>
      <c r="AK78" s="7">
        <v>81</v>
      </c>
      <c r="AL78" s="7" t="s">
        <v>110</v>
      </c>
      <c r="AM78" s="4" t="s">
        <v>43</v>
      </c>
    </row>
    <row r="79" spans="1:39" ht="54" customHeight="1" x14ac:dyDescent="0.2">
      <c r="A79" s="9">
        <v>78</v>
      </c>
      <c r="B79" s="9" t="s">
        <v>42</v>
      </c>
      <c r="C79" s="9" t="s">
        <v>862</v>
      </c>
      <c r="D79" s="9" t="s">
        <v>862</v>
      </c>
      <c r="E79" s="7" t="s">
        <v>332</v>
      </c>
      <c r="F79" s="7" t="s">
        <v>863</v>
      </c>
      <c r="G79" s="17">
        <v>1490</v>
      </c>
      <c r="H79" s="17">
        <v>1200</v>
      </c>
      <c r="I79" s="17">
        <v>5000</v>
      </c>
      <c r="J79" s="8">
        <v>7</v>
      </c>
      <c r="K79" s="17">
        <v>60</v>
      </c>
      <c r="L79" s="8">
        <v>0.25</v>
      </c>
      <c r="M79" s="17">
        <v>10</v>
      </c>
      <c r="N79" s="17">
        <v>0</v>
      </c>
      <c r="O79" s="18">
        <f>J79*K79+L79*الافتراضات!$B$3+M79+N79</f>
        <v>480</v>
      </c>
      <c r="P79" s="18">
        <f>O79*الافتراضات!$B$7</f>
        <v>19.2</v>
      </c>
      <c r="Q79" s="18">
        <f>G79*الافتراضات!$B$4</f>
        <v>37.25</v>
      </c>
      <c r="R79" s="18">
        <f>G79*الافتراضات!$B$5</f>
        <v>74.5</v>
      </c>
      <c r="S79" s="18">
        <f t="shared" si="8"/>
        <v>610.95000000000005</v>
      </c>
      <c r="T79" s="19">
        <f t="shared" si="9"/>
        <v>0.58996644295302014</v>
      </c>
      <c r="U79" s="19">
        <f t="shared" si="10"/>
        <v>0.63996644295302008</v>
      </c>
      <c r="V79" s="18">
        <f>(O79+P79)/((1-الافتراضات!$B$4-الافتراضات!$B$5)*(1-الافتراضات!$B$6))</f>
        <v>1079.3513513513515</v>
      </c>
      <c r="W79" s="19">
        <f t="shared" si="11"/>
        <v>0.27560311989842184</v>
      </c>
      <c r="X79" s="7" t="s">
        <v>127</v>
      </c>
      <c r="Y79" s="7" t="s">
        <v>728</v>
      </c>
      <c r="Z79" s="7" t="s">
        <v>864</v>
      </c>
      <c r="AA79" s="7" t="s">
        <v>865</v>
      </c>
      <c r="AB79" s="7" t="s">
        <v>866</v>
      </c>
      <c r="AC79" s="7" t="s">
        <v>867</v>
      </c>
      <c r="AD79" s="7" t="s">
        <v>760</v>
      </c>
      <c r="AE79" s="7" t="s">
        <v>868</v>
      </c>
      <c r="AF79" s="7" t="s">
        <v>229</v>
      </c>
      <c r="AG79" s="7" t="s">
        <v>136</v>
      </c>
      <c r="AH79" s="7" t="s">
        <v>137</v>
      </c>
      <c r="AI79" s="7" t="s">
        <v>482</v>
      </c>
      <c r="AJ79" s="7" t="s">
        <v>869</v>
      </c>
      <c r="AK79" s="7">
        <v>79</v>
      </c>
      <c r="AL79" s="7" t="s">
        <v>110</v>
      </c>
      <c r="AM79" s="4" t="s">
        <v>43</v>
      </c>
    </row>
    <row r="80" spans="1:39" ht="54" customHeight="1" x14ac:dyDescent="0.2">
      <c r="A80" s="9">
        <v>79</v>
      </c>
      <c r="B80" s="9" t="s">
        <v>42</v>
      </c>
      <c r="C80" s="9" t="s">
        <v>870</v>
      </c>
      <c r="D80" s="9" t="s">
        <v>870</v>
      </c>
      <c r="E80" s="7" t="s">
        <v>332</v>
      </c>
      <c r="F80" s="7" t="s">
        <v>871</v>
      </c>
      <c r="G80" s="17">
        <v>1990</v>
      </c>
      <c r="H80" s="17">
        <v>1500</v>
      </c>
      <c r="I80" s="17">
        <v>6000</v>
      </c>
      <c r="J80" s="8">
        <v>9</v>
      </c>
      <c r="K80" s="17">
        <v>60</v>
      </c>
      <c r="L80" s="8">
        <v>0.45</v>
      </c>
      <c r="M80" s="17">
        <v>12</v>
      </c>
      <c r="N80" s="17">
        <v>0</v>
      </c>
      <c r="O80" s="18">
        <f>J80*K80+L80*الافتراضات!$B$3+M80+N80</f>
        <v>642</v>
      </c>
      <c r="P80" s="18">
        <f>O80*الافتراضات!$B$7</f>
        <v>25.68</v>
      </c>
      <c r="Q80" s="18">
        <f>G80*الافتراضات!$B$4</f>
        <v>49.75</v>
      </c>
      <c r="R80" s="18">
        <f>G80*الافتراضات!$B$5</f>
        <v>99.5</v>
      </c>
      <c r="S80" s="18">
        <f t="shared" si="8"/>
        <v>816.93</v>
      </c>
      <c r="T80" s="19">
        <f t="shared" si="9"/>
        <v>0.58948241206030161</v>
      </c>
      <c r="U80" s="19">
        <f t="shared" si="10"/>
        <v>0.63948241206030154</v>
      </c>
      <c r="V80" s="18">
        <f>(O80+P80)/((1-الافتراضات!$B$4-الافتراضات!$B$5)*(1-الافتراضات!$B$6))</f>
        <v>1443.6324324324323</v>
      </c>
      <c r="W80" s="19">
        <f t="shared" si="11"/>
        <v>0.27455656661686817</v>
      </c>
      <c r="X80" s="7" t="s">
        <v>127</v>
      </c>
      <c r="Y80" s="7" t="s">
        <v>872</v>
      </c>
      <c r="Z80" s="7" t="s">
        <v>873</v>
      </c>
      <c r="AA80" s="7" t="s">
        <v>874</v>
      </c>
      <c r="AB80" s="7" t="s">
        <v>875</v>
      </c>
      <c r="AC80" s="7" t="s">
        <v>876</v>
      </c>
      <c r="AD80" s="7" t="s">
        <v>378</v>
      </c>
      <c r="AE80" s="7" t="s">
        <v>877</v>
      </c>
      <c r="AF80" s="7" t="s">
        <v>472</v>
      </c>
      <c r="AG80" s="7" t="s">
        <v>136</v>
      </c>
      <c r="AH80" s="7" t="s">
        <v>137</v>
      </c>
      <c r="AI80" s="7" t="s">
        <v>192</v>
      </c>
      <c r="AJ80" s="7" t="s">
        <v>878</v>
      </c>
      <c r="AK80" s="7">
        <v>78</v>
      </c>
      <c r="AL80" s="7" t="s">
        <v>110</v>
      </c>
      <c r="AM80" s="4" t="s">
        <v>43</v>
      </c>
    </row>
    <row r="81" spans="1:39" ht="54" customHeight="1" x14ac:dyDescent="0.2">
      <c r="A81" s="9">
        <v>80</v>
      </c>
      <c r="B81" s="9" t="s">
        <v>42</v>
      </c>
      <c r="C81" s="9" t="s">
        <v>879</v>
      </c>
      <c r="D81" s="9" t="s">
        <v>880</v>
      </c>
      <c r="E81" s="7" t="s">
        <v>881</v>
      </c>
      <c r="F81" s="7" t="s">
        <v>882</v>
      </c>
      <c r="G81" s="17">
        <v>3990</v>
      </c>
      <c r="H81" s="17">
        <v>3000</v>
      </c>
      <c r="I81" s="17">
        <v>12000</v>
      </c>
      <c r="J81" s="8">
        <v>16</v>
      </c>
      <c r="K81" s="17">
        <v>70</v>
      </c>
      <c r="L81" s="8">
        <v>0.9</v>
      </c>
      <c r="M81" s="17">
        <v>20</v>
      </c>
      <c r="N81" s="17">
        <v>0</v>
      </c>
      <c r="O81" s="18">
        <f>J81*K81+L81*الافتراضات!$B$3+M81+N81</f>
        <v>1320</v>
      </c>
      <c r="P81" s="18">
        <f>O81*الافتراضات!$B$7</f>
        <v>52.800000000000004</v>
      </c>
      <c r="Q81" s="18">
        <f>G81*الافتراضات!$B$4</f>
        <v>99.75</v>
      </c>
      <c r="R81" s="18">
        <f>G81*الافتراضات!$B$5</f>
        <v>199.5</v>
      </c>
      <c r="S81" s="18">
        <f t="shared" si="8"/>
        <v>1672.05</v>
      </c>
      <c r="T81" s="19">
        <f t="shared" si="9"/>
        <v>0.58093984962406009</v>
      </c>
      <c r="U81" s="19">
        <f t="shared" si="10"/>
        <v>0.63093984962406013</v>
      </c>
      <c r="V81" s="18">
        <f>(O81+P81)/((1-الافتراضات!$B$4-الافتراضات!$B$5)*(1-الافتراضات!$B$6))</f>
        <v>2968.2162162162163</v>
      </c>
      <c r="W81" s="19">
        <f t="shared" si="11"/>
        <v>0.25608616134931922</v>
      </c>
      <c r="X81" s="7" t="s">
        <v>255</v>
      </c>
      <c r="Y81" s="7" t="s">
        <v>883</v>
      </c>
      <c r="Z81" s="7" t="s">
        <v>499</v>
      </c>
      <c r="AA81" s="7" t="s">
        <v>884</v>
      </c>
      <c r="AB81" s="7" t="s">
        <v>885</v>
      </c>
      <c r="AC81" s="7" t="s">
        <v>886</v>
      </c>
      <c r="AD81" s="7" t="s">
        <v>554</v>
      </c>
      <c r="AE81" s="7" t="s">
        <v>887</v>
      </c>
      <c r="AF81" s="7" t="s">
        <v>250</v>
      </c>
      <c r="AG81" s="7" t="s">
        <v>136</v>
      </c>
      <c r="AH81" s="7" t="s">
        <v>264</v>
      </c>
      <c r="AI81" s="7" t="s">
        <v>482</v>
      </c>
      <c r="AJ81" s="7" t="s">
        <v>888</v>
      </c>
      <c r="AK81" s="7">
        <v>72</v>
      </c>
      <c r="AL81" s="7" t="s">
        <v>110</v>
      </c>
      <c r="AM81" s="4" t="s">
        <v>43</v>
      </c>
    </row>
    <row r="82" spans="1:39" ht="54" customHeight="1" x14ac:dyDescent="0.2">
      <c r="A82" s="11">
        <v>81</v>
      </c>
      <c r="B82" s="11" t="s">
        <v>44</v>
      </c>
      <c r="C82" s="11" t="s">
        <v>889</v>
      </c>
      <c r="D82" s="11" t="s">
        <v>889</v>
      </c>
      <c r="E82" s="7" t="s">
        <v>890</v>
      </c>
      <c r="F82" s="7" t="s">
        <v>891</v>
      </c>
      <c r="G82" s="17">
        <v>299</v>
      </c>
      <c r="H82" s="17">
        <v>99</v>
      </c>
      <c r="I82" s="17">
        <v>700</v>
      </c>
      <c r="J82" s="8">
        <v>0.8</v>
      </c>
      <c r="K82" s="17">
        <v>35</v>
      </c>
      <c r="L82" s="8">
        <v>0.02</v>
      </c>
      <c r="M82" s="17">
        <v>2</v>
      </c>
      <c r="N82" s="17">
        <v>0</v>
      </c>
      <c r="O82" s="18">
        <f>J82*K82+L82*الافتراضات!$B$3+M82+N82</f>
        <v>34</v>
      </c>
      <c r="P82" s="18">
        <f>O82*الافتراضات!$B$7</f>
        <v>1.36</v>
      </c>
      <c r="Q82" s="18">
        <f>G82*الافتراضات!$B$4</f>
        <v>7.4750000000000005</v>
      </c>
      <c r="R82" s="18">
        <f>G82*الافتراضات!$B$5</f>
        <v>14.950000000000001</v>
      </c>
      <c r="S82" s="18">
        <f t="shared" si="8"/>
        <v>57.785000000000004</v>
      </c>
      <c r="T82" s="19">
        <f t="shared" si="9"/>
        <v>0.80673913043478263</v>
      </c>
      <c r="U82" s="19">
        <f t="shared" si="10"/>
        <v>0.85673913043478267</v>
      </c>
      <c r="V82" s="18">
        <f>(O82+P82)/((1-الافتراضات!$B$4-الافتراضات!$B$5)*(1-الافتراضات!$B$6))</f>
        <v>76.454054054054055</v>
      </c>
      <c r="W82" s="19">
        <f t="shared" si="11"/>
        <v>0.74430082256169217</v>
      </c>
      <c r="X82" s="7" t="s">
        <v>89</v>
      </c>
      <c r="Y82" s="7" t="s">
        <v>892</v>
      </c>
      <c r="Z82" s="7" t="s">
        <v>893</v>
      </c>
      <c r="AA82" s="7" t="s">
        <v>894</v>
      </c>
      <c r="AB82" s="7" t="s">
        <v>895</v>
      </c>
      <c r="AC82" s="7" t="s">
        <v>896</v>
      </c>
      <c r="AD82" s="7" t="s">
        <v>897</v>
      </c>
      <c r="AE82" s="7" t="s">
        <v>898</v>
      </c>
      <c r="AF82" s="7" t="s">
        <v>899</v>
      </c>
      <c r="AG82" s="7" t="s">
        <v>900</v>
      </c>
      <c r="AH82" s="7" t="s">
        <v>99</v>
      </c>
      <c r="AI82" s="7" t="s">
        <v>192</v>
      </c>
      <c r="AJ82" s="7" t="s">
        <v>901</v>
      </c>
      <c r="AK82" s="7">
        <v>84</v>
      </c>
      <c r="AL82" s="7" t="s">
        <v>110</v>
      </c>
      <c r="AM82" s="4" t="s">
        <v>45</v>
      </c>
    </row>
    <row r="83" spans="1:39" ht="54" customHeight="1" x14ac:dyDescent="0.2">
      <c r="A83" s="11">
        <v>82</v>
      </c>
      <c r="B83" s="11" t="s">
        <v>44</v>
      </c>
      <c r="C83" s="11" t="s">
        <v>902</v>
      </c>
      <c r="D83" s="11" t="s">
        <v>902</v>
      </c>
      <c r="E83" s="7" t="s">
        <v>903</v>
      </c>
      <c r="F83" s="7" t="s">
        <v>904</v>
      </c>
      <c r="G83" s="17">
        <v>990</v>
      </c>
      <c r="H83" s="17">
        <v>500</v>
      </c>
      <c r="I83" s="17">
        <v>1800</v>
      </c>
      <c r="J83" s="8">
        <v>4.5</v>
      </c>
      <c r="K83" s="17">
        <v>45</v>
      </c>
      <c r="L83" s="8">
        <v>0.15</v>
      </c>
      <c r="M83" s="17">
        <v>6</v>
      </c>
      <c r="N83" s="17">
        <v>0</v>
      </c>
      <c r="O83" s="18">
        <f>J83*K83+L83*الافتراضات!$B$3+M83+N83</f>
        <v>238.5</v>
      </c>
      <c r="P83" s="18">
        <f>O83*الافتراضات!$B$7</f>
        <v>9.5400000000000009</v>
      </c>
      <c r="Q83" s="18">
        <f>G83*الافتراضات!$B$4</f>
        <v>24.75</v>
      </c>
      <c r="R83" s="18">
        <f>G83*الافتراضات!$B$5</f>
        <v>49.5</v>
      </c>
      <c r="S83" s="18">
        <f t="shared" si="8"/>
        <v>322.28999999999996</v>
      </c>
      <c r="T83" s="19">
        <f t="shared" si="9"/>
        <v>0.67445454545454553</v>
      </c>
      <c r="U83" s="19">
        <f t="shared" si="10"/>
        <v>0.72445454545454546</v>
      </c>
      <c r="V83" s="18">
        <f>(O83+P83)/((1-الافتراضات!$B$4-الافتراضات!$B$5)*(1-الافتراضات!$B$6))</f>
        <v>536.30270270270273</v>
      </c>
      <c r="W83" s="19">
        <f t="shared" si="11"/>
        <v>0.45828009828009825</v>
      </c>
      <c r="X83" s="7" t="s">
        <v>115</v>
      </c>
      <c r="Y83" s="7" t="s">
        <v>905</v>
      </c>
      <c r="Z83" s="7" t="s">
        <v>906</v>
      </c>
      <c r="AA83" s="7" t="s">
        <v>907</v>
      </c>
      <c r="AB83" s="7" t="s">
        <v>908</v>
      </c>
      <c r="AC83" s="7" t="s">
        <v>909</v>
      </c>
      <c r="AD83" s="7" t="s">
        <v>147</v>
      </c>
      <c r="AE83" s="7" t="s">
        <v>910</v>
      </c>
      <c r="AF83" s="7" t="s">
        <v>216</v>
      </c>
      <c r="AG83" s="7" t="s">
        <v>136</v>
      </c>
      <c r="AH83" s="7" t="s">
        <v>137</v>
      </c>
      <c r="AI83" s="7" t="s">
        <v>192</v>
      </c>
      <c r="AJ83" s="7" t="s">
        <v>911</v>
      </c>
      <c r="AK83" s="7">
        <v>80</v>
      </c>
      <c r="AL83" s="7" t="s">
        <v>110</v>
      </c>
      <c r="AM83" s="4" t="s">
        <v>45</v>
      </c>
    </row>
    <row r="84" spans="1:39" ht="54" customHeight="1" x14ac:dyDescent="0.2">
      <c r="A84" s="11">
        <v>83</v>
      </c>
      <c r="B84" s="11" t="s">
        <v>44</v>
      </c>
      <c r="C84" s="11" t="s">
        <v>912</v>
      </c>
      <c r="D84" s="11" t="s">
        <v>913</v>
      </c>
      <c r="E84" s="7" t="s">
        <v>903</v>
      </c>
      <c r="F84" s="7" t="s">
        <v>914</v>
      </c>
      <c r="G84" s="17">
        <v>1990</v>
      </c>
      <c r="H84" s="17">
        <v>1000</v>
      </c>
      <c r="I84" s="17">
        <v>3000</v>
      </c>
      <c r="J84" s="8">
        <v>9</v>
      </c>
      <c r="K84" s="17">
        <v>55</v>
      </c>
      <c r="L84" s="8">
        <v>0.35</v>
      </c>
      <c r="M84" s="17">
        <v>10</v>
      </c>
      <c r="N84" s="17">
        <v>0</v>
      </c>
      <c r="O84" s="18">
        <f>J84*K84+L84*الافتراضات!$B$3+M84+N84</f>
        <v>575</v>
      </c>
      <c r="P84" s="18">
        <f>O84*الافتراضات!$B$7</f>
        <v>23</v>
      </c>
      <c r="Q84" s="18">
        <f>G84*الافتراضات!$B$4</f>
        <v>49.75</v>
      </c>
      <c r="R84" s="18">
        <f>G84*الافتراضات!$B$5</f>
        <v>99.5</v>
      </c>
      <c r="S84" s="18">
        <f t="shared" si="8"/>
        <v>747.25</v>
      </c>
      <c r="T84" s="19">
        <f t="shared" si="9"/>
        <v>0.62449748743718592</v>
      </c>
      <c r="U84" s="19">
        <f t="shared" si="10"/>
        <v>0.67449748743718596</v>
      </c>
      <c r="V84" s="18">
        <f>(O84+P84)/((1-الافتراضات!$B$4-الافتراضات!$B$5)*(1-الافتراضات!$B$6))</f>
        <v>1292.9729729729731</v>
      </c>
      <c r="W84" s="19">
        <f t="shared" si="11"/>
        <v>0.35026483770202355</v>
      </c>
      <c r="X84" s="7" t="s">
        <v>127</v>
      </c>
      <c r="Y84" s="7" t="s">
        <v>915</v>
      </c>
      <c r="Z84" s="7" t="s">
        <v>916</v>
      </c>
      <c r="AA84" s="7" t="s">
        <v>917</v>
      </c>
      <c r="AB84" s="7" t="s">
        <v>918</v>
      </c>
      <c r="AC84" s="7" t="s">
        <v>919</v>
      </c>
      <c r="AD84" s="7" t="s">
        <v>378</v>
      </c>
      <c r="AE84" s="7" t="s">
        <v>920</v>
      </c>
      <c r="AF84" s="7" t="s">
        <v>472</v>
      </c>
      <c r="AG84" s="7" t="s">
        <v>136</v>
      </c>
      <c r="AH84" s="7" t="s">
        <v>137</v>
      </c>
      <c r="AI84" s="7" t="s">
        <v>192</v>
      </c>
      <c r="AJ84" s="7" t="s">
        <v>921</v>
      </c>
      <c r="AK84" s="7">
        <v>78</v>
      </c>
      <c r="AL84" s="7" t="s">
        <v>110</v>
      </c>
      <c r="AM84" s="4" t="s">
        <v>45</v>
      </c>
    </row>
    <row r="85" spans="1:39" ht="54" customHeight="1" x14ac:dyDescent="0.2">
      <c r="A85" s="11">
        <v>84</v>
      </c>
      <c r="B85" s="11" t="s">
        <v>44</v>
      </c>
      <c r="C85" s="11" t="s">
        <v>915</v>
      </c>
      <c r="D85" s="11" t="s">
        <v>922</v>
      </c>
      <c r="E85" s="7" t="s">
        <v>903</v>
      </c>
      <c r="F85" s="7" t="s">
        <v>923</v>
      </c>
      <c r="G85" s="17">
        <v>2990</v>
      </c>
      <c r="H85" s="17">
        <v>1500</v>
      </c>
      <c r="I85" s="17">
        <v>4000</v>
      </c>
      <c r="J85" s="8">
        <v>13</v>
      </c>
      <c r="K85" s="17">
        <v>55</v>
      </c>
      <c r="L85" s="8">
        <v>0.55000000000000004</v>
      </c>
      <c r="M85" s="17">
        <v>14</v>
      </c>
      <c r="N85" s="17">
        <v>0</v>
      </c>
      <c r="O85" s="18">
        <f>J85*K85+L85*الافتراضات!$B$3+M85+N85</f>
        <v>839</v>
      </c>
      <c r="P85" s="18">
        <f>O85*الافتراضات!$B$7</f>
        <v>33.56</v>
      </c>
      <c r="Q85" s="18">
        <f>G85*الافتراضات!$B$4</f>
        <v>74.75</v>
      </c>
      <c r="R85" s="18">
        <f>G85*الافتراضات!$B$5</f>
        <v>149.5</v>
      </c>
      <c r="S85" s="18">
        <f t="shared" si="8"/>
        <v>1096.81</v>
      </c>
      <c r="T85" s="19">
        <f t="shared" si="9"/>
        <v>0.63317391304347825</v>
      </c>
      <c r="U85" s="19">
        <f t="shared" si="10"/>
        <v>0.6831739130434783</v>
      </c>
      <c r="V85" s="18">
        <f>(O85+P85)/((1-الافتراضات!$B$4-الافتراضات!$B$5)*(1-الافتراضات!$B$6))</f>
        <v>1886.6162162162163</v>
      </c>
      <c r="W85" s="19">
        <f t="shared" si="11"/>
        <v>0.36902467685076379</v>
      </c>
      <c r="X85" s="7" t="s">
        <v>127</v>
      </c>
      <c r="Y85" s="7" t="s">
        <v>924</v>
      </c>
      <c r="Z85" s="7" t="s">
        <v>925</v>
      </c>
      <c r="AA85" s="7" t="s">
        <v>912</v>
      </c>
      <c r="AB85" s="7" t="s">
        <v>926</v>
      </c>
      <c r="AC85" s="7" t="s">
        <v>927</v>
      </c>
      <c r="AD85" s="7" t="s">
        <v>296</v>
      </c>
      <c r="AE85" s="7" t="s">
        <v>928</v>
      </c>
      <c r="AF85" s="7" t="s">
        <v>929</v>
      </c>
      <c r="AG85" s="7" t="s">
        <v>136</v>
      </c>
      <c r="AH85" s="7" t="s">
        <v>137</v>
      </c>
      <c r="AI85" s="7" t="s">
        <v>192</v>
      </c>
      <c r="AJ85" s="7" t="s">
        <v>930</v>
      </c>
      <c r="AK85" s="7">
        <v>78</v>
      </c>
      <c r="AL85" s="7" t="s">
        <v>110</v>
      </c>
      <c r="AM85" s="4" t="s">
        <v>45</v>
      </c>
    </row>
    <row r="86" spans="1:39" ht="54" customHeight="1" x14ac:dyDescent="0.2">
      <c r="A86" s="11">
        <v>85</v>
      </c>
      <c r="B86" s="11" t="s">
        <v>44</v>
      </c>
      <c r="C86" s="11" t="s">
        <v>931</v>
      </c>
      <c r="D86" s="11" t="s">
        <v>932</v>
      </c>
      <c r="E86" s="7" t="s">
        <v>933</v>
      </c>
      <c r="F86" s="7" t="s">
        <v>934</v>
      </c>
      <c r="G86" s="17">
        <v>3990</v>
      </c>
      <c r="H86" s="17">
        <v>2000</v>
      </c>
      <c r="I86" s="17">
        <v>6000</v>
      </c>
      <c r="J86" s="8">
        <v>17</v>
      </c>
      <c r="K86" s="17">
        <v>60</v>
      </c>
      <c r="L86" s="8">
        <v>0.75</v>
      </c>
      <c r="M86" s="17">
        <v>18</v>
      </c>
      <c r="N86" s="17">
        <v>0</v>
      </c>
      <c r="O86" s="18">
        <f>J86*K86+L86*الافتراضات!$B$3+M86+N86</f>
        <v>1188</v>
      </c>
      <c r="P86" s="18">
        <f>O86*الافتراضات!$B$7</f>
        <v>47.52</v>
      </c>
      <c r="Q86" s="18">
        <f>G86*الافتراضات!$B$4</f>
        <v>99.75</v>
      </c>
      <c r="R86" s="18">
        <f>G86*الافتراضات!$B$5</f>
        <v>199.5</v>
      </c>
      <c r="S86" s="18">
        <f t="shared" si="8"/>
        <v>1534.77</v>
      </c>
      <c r="T86" s="19">
        <f t="shared" si="9"/>
        <v>0.61534586466165409</v>
      </c>
      <c r="U86" s="19">
        <f t="shared" si="10"/>
        <v>0.66534586466165413</v>
      </c>
      <c r="V86" s="18">
        <f>(O86+P86)/((1-الافتراضات!$B$4-الافتراضات!$B$5)*(1-الافتراضات!$B$6))</f>
        <v>2671.3945945945948</v>
      </c>
      <c r="W86" s="19">
        <f t="shared" si="11"/>
        <v>0.33047754521438727</v>
      </c>
      <c r="X86" s="7" t="s">
        <v>127</v>
      </c>
      <c r="Y86" s="7" t="s">
        <v>935</v>
      </c>
      <c r="Z86" s="7" t="s">
        <v>925</v>
      </c>
      <c r="AA86" s="7" t="s">
        <v>936</v>
      </c>
      <c r="AB86" s="7" t="s">
        <v>937</v>
      </c>
      <c r="AC86" s="7" t="s">
        <v>938</v>
      </c>
      <c r="AD86" s="7" t="s">
        <v>554</v>
      </c>
      <c r="AE86" s="7" t="s">
        <v>939</v>
      </c>
      <c r="AF86" s="7" t="s">
        <v>940</v>
      </c>
      <c r="AG86" s="7" t="s">
        <v>136</v>
      </c>
      <c r="AH86" s="7" t="s">
        <v>137</v>
      </c>
      <c r="AI86" s="7" t="s">
        <v>192</v>
      </c>
      <c r="AJ86" s="7" t="s">
        <v>941</v>
      </c>
      <c r="AK86" s="7">
        <v>75</v>
      </c>
      <c r="AL86" s="7" t="s">
        <v>110</v>
      </c>
      <c r="AM86" s="4" t="s">
        <v>45</v>
      </c>
    </row>
    <row r="87" spans="1:39" ht="54" customHeight="1" x14ac:dyDescent="0.2">
      <c r="A87" s="11">
        <v>86</v>
      </c>
      <c r="B87" s="11" t="s">
        <v>44</v>
      </c>
      <c r="C87" s="11" t="s">
        <v>935</v>
      </c>
      <c r="D87" s="11" t="s">
        <v>942</v>
      </c>
      <c r="E87" s="7" t="s">
        <v>486</v>
      </c>
      <c r="F87" s="7" t="s">
        <v>943</v>
      </c>
      <c r="G87" s="17">
        <v>4990</v>
      </c>
      <c r="H87" s="17">
        <v>2500</v>
      </c>
      <c r="I87" s="17">
        <v>8000</v>
      </c>
      <c r="J87" s="8">
        <v>22</v>
      </c>
      <c r="K87" s="17">
        <v>60</v>
      </c>
      <c r="L87" s="8">
        <v>1</v>
      </c>
      <c r="M87" s="17">
        <v>22</v>
      </c>
      <c r="N87" s="17">
        <v>0</v>
      </c>
      <c r="O87" s="18">
        <f>J87*K87+L87*الافتراضات!$B$3+M87+N87</f>
        <v>1542</v>
      </c>
      <c r="P87" s="18">
        <f>O87*الافتراضات!$B$7</f>
        <v>61.68</v>
      </c>
      <c r="Q87" s="18">
        <f>G87*الافتراضات!$B$4</f>
        <v>124.75</v>
      </c>
      <c r="R87" s="18">
        <f>G87*الافتراضات!$B$5</f>
        <v>249.5</v>
      </c>
      <c r="S87" s="18">
        <f t="shared" si="8"/>
        <v>1977.93</v>
      </c>
      <c r="T87" s="19">
        <f t="shared" si="9"/>
        <v>0.60362124248496984</v>
      </c>
      <c r="U87" s="19">
        <f t="shared" si="10"/>
        <v>0.65362124248496989</v>
      </c>
      <c r="V87" s="18">
        <f>(O87+P87)/((1-الافتراضات!$B$4-الافتراضات!$B$5)*(1-الافتراضات!$B$6))</f>
        <v>3467.4162162162165</v>
      </c>
      <c r="W87" s="19">
        <f t="shared" si="11"/>
        <v>0.30512701077831333</v>
      </c>
      <c r="X87" s="7" t="s">
        <v>255</v>
      </c>
      <c r="Y87" s="7" t="s">
        <v>944</v>
      </c>
      <c r="Z87" s="7" t="s">
        <v>925</v>
      </c>
      <c r="AA87" s="7" t="s">
        <v>945</v>
      </c>
      <c r="AB87" s="7" t="s">
        <v>946</v>
      </c>
      <c r="AC87" s="7" t="s">
        <v>947</v>
      </c>
      <c r="AD87" s="7" t="s">
        <v>296</v>
      </c>
      <c r="AE87" s="7" t="s">
        <v>948</v>
      </c>
      <c r="AF87" s="7" t="s">
        <v>503</v>
      </c>
      <c r="AG87" s="7" t="s">
        <v>136</v>
      </c>
      <c r="AH87" s="7" t="s">
        <v>264</v>
      </c>
      <c r="AI87" s="7" t="s">
        <v>192</v>
      </c>
      <c r="AJ87" s="7" t="s">
        <v>949</v>
      </c>
      <c r="AK87" s="7">
        <v>72</v>
      </c>
      <c r="AL87" s="7" t="s">
        <v>110</v>
      </c>
      <c r="AM87" s="4" t="s">
        <v>45</v>
      </c>
    </row>
    <row r="88" spans="1:39" ht="54" customHeight="1" x14ac:dyDescent="0.2">
      <c r="A88" s="11">
        <v>87</v>
      </c>
      <c r="B88" s="11" t="s">
        <v>44</v>
      </c>
      <c r="C88" s="11" t="s">
        <v>950</v>
      </c>
      <c r="D88" s="11" t="s">
        <v>950</v>
      </c>
      <c r="E88" s="7" t="s">
        <v>332</v>
      </c>
      <c r="F88" s="7" t="s">
        <v>951</v>
      </c>
      <c r="G88" s="17">
        <v>1990</v>
      </c>
      <c r="H88" s="17">
        <v>1500</v>
      </c>
      <c r="I88" s="17">
        <v>5000</v>
      </c>
      <c r="J88" s="8">
        <v>9</v>
      </c>
      <c r="K88" s="17">
        <v>60</v>
      </c>
      <c r="L88" s="8">
        <v>0.4</v>
      </c>
      <c r="M88" s="17">
        <v>10</v>
      </c>
      <c r="N88" s="17">
        <v>0</v>
      </c>
      <c r="O88" s="18">
        <f>J88*K88+L88*الافتراضات!$B$3+M88+N88</f>
        <v>630</v>
      </c>
      <c r="P88" s="18">
        <f>O88*الافتراضات!$B$7</f>
        <v>25.2</v>
      </c>
      <c r="Q88" s="18">
        <f>G88*الافتراضات!$B$4</f>
        <v>49.75</v>
      </c>
      <c r="R88" s="18">
        <f>G88*الافتراضات!$B$5</f>
        <v>99.5</v>
      </c>
      <c r="S88" s="18">
        <f t="shared" si="8"/>
        <v>804.45</v>
      </c>
      <c r="T88" s="19">
        <f t="shared" si="9"/>
        <v>0.59575376884422104</v>
      </c>
      <c r="U88" s="19">
        <f t="shared" si="10"/>
        <v>0.64575376884422109</v>
      </c>
      <c r="V88" s="18">
        <f>(O88+P88)/((1-الافتراضات!$B$4-الافتراضات!$B$5)*(1-الافتراضات!$B$6))</f>
        <v>1416.6486486486488</v>
      </c>
      <c r="W88" s="19">
        <f t="shared" si="11"/>
        <v>0.28811625696047799</v>
      </c>
      <c r="X88" s="7" t="s">
        <v>127</v>
      </c>
      <c r="Y88" s="7" t="s">
        <v>952</v>
      </c>
      <c r="Z88" s="7" t="s">
        <v>953</v>
      </c>
      <c r="AA88" s="7" t="s">
        <v>954</v>
      </c>
      <c r="AB88" s="7" t="s">
        <v>955</v>
      </c>
      <c r="AC88" s="7" t="s">
        <v>956</v>
      </c>
      <c r="AD88" s="7" t="s">
        <v>158</v>
      </c>
      <c r="AE88" s="7" t="s">
        <v>957</v>
      </c>
      <c r="AF88" s="7" t="s">
        <v>240</v>
      </c>
      <c r="AG88" s="7" t="s">
        <v>136</v>
      </c>
      <c r="AH88" s="7" t="s">
        <v>137</v>
      </c>
      <c r="AI88" s="7" t="s">
        <v>482</v>
      </c>
      <c r="AJ88" s="7" t="s">
        <v>958</v>
      </c>
      <c r="AK88" s="7">
        <v>78</v>
      </c>
      <c r="AL88" s="7" t="s">
        <v>110</v>
      </c>
      <c r="AM88" s="4" t="s">
        <v>45</v>
      </c>
    </row>
    <row r="89" spans="1:39" ht="54" customHeight="1" x14ac:dyDescent="0.2">
      <c r="A89" s="11">
        <v>88</v>
      </c>
      <c r="B89" s="11" t="s">
        <v>44</v>
      </c>
      <c r="C89" s="11" t="s">
        <v>959</v>
      </c>
      <c r="D89" s="11" t="s">
        <v>959</v>
      </c>
      <c r="E89" s="7" t="s">
        <v>960</v>
      </c>
      <c r="F89" s="7" t="s">
        <v>961</v>
      </c>
      <c r="G89" s="17">
        <v>2990</v>
      </c>
      <c r="H89" s="17">
        <v>2000</v>
      </c>
      <c r="I89" s="17">
        <v>7000</v>
      </c>
      <c r="J89" s="8">
        <v>10.5</v>
      </c>
      <c r="K89" s="17">
        <v>65</v>
      </c>
      <c r="L89" s="8">
        <v>0.45</v>
      </c>
      <c r="M89" s="17">
        <v>15</v>
      </c>
      <c r="N89" s="17">
        <v>100</v>
      </c>
      <c r="O89" s="18">
        <f>J89*K89+L89*الافتراضات!$B$3+M89+N89</f>
        <v>887.5</v>
      </c>
      <c r="P89" s="18">
        <f>O89*الافتراضات!$B$7</f>
        <v>35.5</v>
      </c>
      <c r="Q89" s="18">
        <f>G89*الافتراضات!$B$4</f>
        <v>74.75</v>
      </c>
      <c r="R89" s="18">
        <f>G89*الافتراضات!$B$5</f>
        <v>149.5</v>
      </c>
      <c r="S89" s="18">
        <f t="shared" si="8"/>
        <v>1147.25</v>
      </c>
      <c r="T89" s="19">
        <f t="shared" si="9"/>
        <v>0.61630434782608701</v>
      </c>
      <c r="U89" s="19">
        <f t="shared" si="10"/>
        <v>0.66630434782608694</v>
      </c>
      <c r="V89" s="18">
        <f>(O89+P89)/((1-الافتراضات!$B$4-الافتراضات!$B$5)*(1-الافتراضات!$B$6))</f>
        <v>1995.6756756756758</v>
      </c>
      <c r="W89" s="19">
        <f t="shared" si="11"/>
        <v>0.33254994124559334</v>
      </c>
      <c r="X89" s="7" t="s">
        <v>127</v>
      </c>
      <c r="Y89" s="7" t="s">
        <v>962</v>
      </c>
      <c r="Z89" s="7" t="s">
        <v>963</v>
      </c>
      <c r="AA89" s="7" t="s">
        <v>964</v>
      </c>
      <c r="AB89" s="7" t="s">
        <v>651</v>
      </c>
      <c r="AC89" s="7" t="s">
        <v>965</v>
      </c>
      <c r="AD89" s="7" t="s">
        <v>760</v>
      </c>
      <c r="AE89" s="7" t="s">
        <v>966</v>
      </c>
      <c r="AF89" s="7" t="s">
        <v>940</v>
      </c>
      <c r="AG89" s="7" t="s">
        <v>136</v>
      </c>
      <c r="AH89" s="7" t="s">
        <v>264</v>
      </c>
      <c r="AI89" s="7" t="s">
        <v>192</v>
      </c>
      <c r="AJ89" s="7" t="s">
        <v>967</v>
      </c>
      <c r="AK89" s="7">
        <v>75</v>
      </c>
      <c r="AL89" s="7" t="s">
        <v>110</v>
      </c>
      <c r="AM89" s="4" t="s">
        <v>45</v>
      </c>
    </row>
    <row r="90" spans="1:39" ht="54" customHeight="1" x14ac:dyDescent="0.2">
      <c r="A90" s="9">
        <v>89</v>
      </c>
      <c r="B90" s="9" t="s">
        <v>46</v>
      </c>
      <c r="C90" s="9" t="s">
        <v>968</v>
      </c>
      <c r="D90" s="9" t="s">
        <v>969</v>
      </c>
      <c r="E90" s="7" t="s">
        <v>970</v>
      </c>
      <c r="F90" s="7" t="s">
        <v>971</v>
      </c>
      <c r="G90" s="17">
        <v>249</v>
      </c>
      <c r="H90" s="17">
        <v>200</v>
      </c>
      <c r="I90" s="17">
        <v>1000</v>
      </c>
      <c r="J90" s="8">
        <v>1.2</v>
      </c>
      <c r="K90" s="17">
        <v>45</v>
      </c>
      <c r="L90" s="8">
        <v>0.04</v>
      </c>
      <c r="M90" s="17">
        <v>2</v>
      </c>
      <c r="N90" s="17">
        <v>0</v>
      </c>
      <c r="O90" s="18">
        <f>J90*K90+L90*الافتراضات!$B$3+M90+N90</f>
        <v>64</v>
      </c>
      <c r="P90" s="18">
        <f>O90*الافتراضات!$B$7</f>
        <v>2.56</v>
      </c>
      <c r="Q90" s="18">
        <f>G90*الافتراضات!$B$4</f>
        <v>6.2250000000000005</v>
      </c>
      <c r="R90" s="18">
        <f>G90*الافتراضات!$B$5</f>
        <v>12.450000000000001</v>
      </c>
      <c r="S90" s="18">
        <f t="shared" si="8"/>
        <v>85.234999999999999</v>
      </c>
      <c r="T90" s="19">
        <f t="shared" si="9"/>
        <v>0.65769076305220875</v>
      </c>
      <c r="U90" s="19">
        <f t="shared" si="10"/>
        <v>0.7076907630522089</v>
      </c>
      <c r="V90" s="18">
        <f>(O90+P90)/((1-الافتراضات!$B$4-الافتراضات!$B$5)*(1-الافتراضات!$B$6))</f>
        <v>143.91351351351352</v>
      </c>
      <c r="W90" s="19">
        <f t="shared" si="11"/>
        <v>0.42203408227504607</v>
      </c>
      <c r="X90" s="7" t="s">
        <v>105</v>
      </c>
      <c r="Y90" s="7" t="s">
        <v>972</v>
      </c>
      <c r="Z90" s="7" t="s">
        <v>973</v>
      </c>
      <c r="AA90" s="7" t="s">
        <v>974</v>
      </c>
      <c r="AB90" s="7" t="s">
        <v>201</v>
      </c>
      <c r="AC90" s="7" t="s">
        <v>975</v>
      </c>
      <c r="AD90" s="7" t="s">
        <v>378</v>
      </c>
      <c r="AE90" s="7" t="s">
        <v>976</v>
      </c>
      <c r="AF90" s="7" t="s">
        <v>122</v>
      </c>
      <c r="AG90" s="7" t="s">
        <v>98</v>
      </c>
      <c r="AH90" s="7" t="s">
        <v>99</v>
      </c>
      <c r="AI90" s="7" t="s">
        <v>192</v>
      </c>
      <c r="AJ90" s="7" t="s">
        <v>977</v>
      </c>
      <c r="AK90" s="7">
        <v>84</v>
      </c>
      <c r="AL90" s="7" t="s">
        <v>110</v>
      </c>
      <c r="AM90" s="4" t="s">
        <v>47</v>
      </c>
    </row>
    <row r="91" spans="1:39" ht="54" customHeight="1" x14ac:dyDescent="0.2">
      <c r="A91" s="9">
        <v>90</v>
      </c>
      <c r="B91" s="9" t="s">
        <v>46</v>
      </c>
      <c r="C91" s="9" t="s">
        <v>972</v>
      </c>
      <c r="D91" s="9" t="s">
        <v>978</v>
      </c>
      <c r="E91" s="7" t="s">
        <v>332</v>
      </c>
      <c r="F91" s="7" t="s">
        <v>979</v>
      </c>
      <c r="G91" s="17">
        <v>990</v>
      </c>
      <c r="H91" s="17">
        <v>700</v>
      </c>
      <c r="I91" s="17">
        <v>3000</v>
      </c>
      <c r="J91" s="8">
        <v>4.8</v>
      </c>
      <c r="K91" s="17">
        <v>50</v>
      </c>
      <c r="L91" s="8">
        <v>0.2</v>
      </c>
      <c r="M91" s="17">
        <v>7</v>
      </c>
      <c r="N91" s="17">
        <v>0</v>
      </c>
      <c r="O91" s="18">
        <f>J91*K91+L91*الافتراضات!$B$3+M91+N91</f>
        <v>287</v>
      </c>
      <c r="P91" s="18">
        <f>O91*الافتراضات!$B$7</f>
        <v>11.48</v>
      </c>
      <c r="Q91" s="18">
        <f>G91*الافتراضات!$B$4</f>
        <v>24.75</v>
      </c>
      <c r="R91" s="18">
        <f>G91*الافتراضات!$B$5</f>
        <v>49.5</v>
      </c>
      <c r="S91" s="18">
        <f t="shared" si="8"/>
        <v>372.73</v>
      </c>
      <c r="T91" s="19">
        <f t="shared" si="9"/>
        <v>0.62350505050505045</v>
      </c>
      <c r="U91" s="19">
        <f t="shared" si="10"/>
        <v>0.6735050505050505</v>
      </c>
      <c r="V91" s="18">
        <f>(O91+P91)/((1-الافتراضات!$B$4-الافتراضات!$B$5)*(1-الافتراضات!$B$6))</f>
        <v>645.36216216216224</v>
      </c>
      <c r="W91" s="19">
        <f t="shared" si="11"/>
        <v>0.34811902811902806</v>
      </c>
      <c r="X91" s="7" t="s">
        <v>127</v>
      </c>
      <c r="Y91" s="7" t="s">
        <v>980</v>
      </c>
      <c r="Z91" s="7" t="s">
        <v>234</v>
      </c>
      <c r="AA91" s="7" t="s">
        <v>981</v>
      </c>
      <c r="AB91" s="7" t="s">
        <v>336</v>
      </c>
      <c r="AC91" s="7" t="s">
        <v>982</v>
      </c>
      <c r="AD91" s="7" t="s">
        <v>296</v>
      </c>
      <c r="AE91" s="7" t="s">
        <v>983</v>
      </c>
      <c r="AF91" s="7" t="s">
        <v>451</v>
      </c>
      <c r="AG91" s="7" t="s">
        <v>136</v>
      </c>
      <c r="AH91" s="7" t="s">
        <v>137</v>
      </c>
      <c r="AI91" s="7" t="s">
        <v>192</v>
      </c>
      <c r="AJ91" s="7" t="s">
        <v>984</v>
      </c>
      <c r="AK91" s="7">
        <v>81</v>
      </c>
      <c r="AL91" s="7" t="s">
        <v>110</v>
      </c>
      <c r="AM91" s="4" t="s">
        <v>47</v>
      </c>
    </row>
    <row r="92" spans="1:39" ht="54" customHeight="1" x14ac:dyDescent="0.2">
      <c r="A92" s="9">
        <v>91</v>
      </c>
      <c r="B92" s="9" t="s">
        <v>46</v>
      </c>
      <c r="C92" s="9" t="s">
        <v>985</v>
      </c>
      <c r="D92" s="9" t="s">
        <v>985</v>
      </c>
      <c r="E92" s="7" t="s">
        <v>986</v>
      </c>
      <c r="F92" s="7" t="s">
        <v>987</v>
      </c>
      <c r="G92" s="17">
        <v>990</v>
      </c>
      <c r="H92" s="17">
        <v>700</v>
      </c>
      <c r="I92" s="17">
        <v>3000</v>
      </c>
      <c r="J92" s="8">
        <v>4.5</v>
      </c>
      <c r="K92" s="17">
        <v>55</v>
      </c>
      <c r="L92" s="8">
        <v>0.2</v>
      </c>
      <c r="M92" s="17">
        <v>6</v>
      </c>
      <c r="N92" s="17">
        <v>0</v>
      </c>
      <c r="O92" s="18">
        <f>J92*K92+L92*الافتراضات!$B$3+M92+N92</f>
        <v>293.5</v>
      </c>
      <c r="P92" s="18">
        <f>O92*الافتراضات!$B$7</f>
        <v>11.74</v>
      </c>
      <c r="Q92" s="18">
        <f>G92*الافتراضات!$B$4</f>
        <v>24.75</v>
      </c>
      <c r="R92" s="18">
        <f>G92*الافتراضات!$B$5</f>
        <v>49.5</v>
      </c>
      <c r="S92" s="18">
        <f t="shared" si="8"/>
        <v>379.49</v>
      </c>
      <c r="T92" s="19">
        <f t="shared" si="9"/>
        <v>0.61667676767676771</v>
      </c>
      <c r="U92" s="19">
        <f t="shared" si="10"/>
        <v>0.66667676767676765</v>
      </c>
      <c r="V92" s="18">
        <f>(O92+P92)/((1-الافتراضات!$B$4-الافتراضات!$B$5)*(1-الافتراضات!$B$6))</f>
        <v>659.97837837837847</v>
      </c>
      <c r="W92" s="19">
        <f t="shared" si="11"/>
        <v>0.33335517335517328</v>
      </c>
      <c r="X92" s="7" t="s">
        <v>127</v>
      </c>
      <c r="Y92" s="7" t="s">
        <v>988</v>
      </c>
      <c r="Z92" s="7" t="s">
        <v>989</v>
      </c>
      <c r="AA92" s="7" t="s">
        <v>990</v>
      </c>
      <c r="AB92" s="7" t="s">
        <v>991</v>
      </c>
      <c r="AC92" s="7" t="s">
        <v>992</v>
      </c>
      <c r="AD92" s="7" t="s">
        <v>296</v>
      </c>
      <c r="AE92" s="7" t="s">
        <v>993</v>
      </c>
      <c r="AF92" s="7" t="s">
        <v>216</v>
      </c>
      <c r="AG92" s="7" t="s">
        <v>136</v>
      </c>
      <c r="AH92" s="7" t="s">
        <v>137</v>
      </c>
      <c r="AI92" s="7" t="s">
        <v>192</v>
      </c>
      <c r="AJ92" s="7" t="s">
        <v>994</v>
      </c>
      <c r="AK92" s="7">
        <v>81</v>
      </c>
      <c r="AL92" s="7" t="s">
        <v>110</v>
      </c>
      <c r="AM92" s="4" t="s">
        <v>47</v>
      </c>
    </row>
    <row r="93" spans="1:39" ht="54" customHeight="1" x14ac:dyDescent="0.2">
      <c r="A93" s="9">
        <v>92</v>
      </c>
      <c r="B93" s="9" t="s">
        <v>46</v>
      </c>
      <c r="C93" s="9" t="s">
        <v>995</v>
      </c>
      <c r="D93" s="9" t="s">
        <v>995</v>
      </c>
      <c r="E93" s="7" t="s">
        <v>332</v>
      </c>
      <c r="F93" s="7" t="s">
        <v>996</v>
      </c>
      <c r="G93" s="17">
        <v>1990</v>
      </c>
      <c r="H93" s="17">
        <v>1500</v>
      </c>
      <c r="I93" s="17">
        <v>5000</v>
      </c>
      <c r="J93" s="8">
        <v>8.5</v>
      </c>
      <c r="K93" s="17">
        <v>60</v>
      </c>
      <c r="L93" s="8">
        <v>0.4</v>
      </c>
      <c r="M93" s="17">
        <v>10</v>
      </c>
      <c r="N93" s="17">
        <v>0</v>
      </c>
      <c r="O93" s="18">
        <f>J93*K93+L93*الافتراضات!$B$3+M93+N93</f>
        <v>600</v>
      </c>
      <c r="P93" s="18">
        <f>O93*الافتراضات!$B$7</f>
        <v>24</v>
      </c>
      <c r="Q93" s="18">
        <f>G93*الافتراضات!$B$4</f>
        <v>49.75</v>
      </c>
      <c r="R93" s="18">
        <f>G93*الافتراضات!$B$5</f>
        <v>99.5</v>
      </c>
      <c r="S93" s="18">
        <f t="shared" si="8"/>
        <v>773.25</v>
      </c>
      <c r="T93" s="19">
        <f t="shared" si="9"/>
        <v>0.61143216080402008</v>
      </c>
      <c r="U93" s="19">
        <f t="shared" si="10"/>
        <v>0.66143216080402012</v>
      </c>
      <c r="V93" s="18">
        <f>(O93+P93)/((1-الافتراضات!$B$4-الافتراضات!$B$5)*(1-الافتراضات!$B$6))</f>
        <v>1349.1891891891894</v>
      </c>
      <c r="W93" s="19">
        <f t="shared" si="11"/>
        <v>0.32201548281950282</v>
      </c>
      <c r="X93" s="7" t="s">
        <v>127</v>
      </c>
      <c r="Y93" s="7" t="s">
        <v>997</v>
      </c>
      <c r="Z93" s="7" t="s">
        <v>538</v>
      </c>
      <c r="AA93" s="7" t="s">
        <v>998</v>
      </c>
      <c r="AB93" s="7" t="s">
        <v>999</v>
      </c>
      <c r="AC93" s="7" t="s">
        <v>1000</v>
      </c>
      <c r="AD93" s="7" t="s">
        <v>378</v>
      </c>
      <c r="AE93" s="7" t="s">
        <v>1001</v>
      </c>
      <c r="AF93" s="7" t="s">
        <v>472</v>
      </c>
      <c r="AG93" s="7" t="s">
        <v>136</v>
      </c>
      <c r="AH93" s="7" t="s">
        <v>137</v>
      </c>
      <c r="AI93" s="7" t="s">
        <v>192</v>
      </c>
      <c r="AJ93" s="7" t="s">
        <v>1002</v>
      </c>
      <c r="AK93" s="7">
        <v>78</v>
      </c>
      <c r="AL93" s="7" t="s">
        <v>110</v>
      </c>
      <c r="AM93" s="4" t="s">
        <v>47</v>
      </c>
    </row>
    <row r="94" spans="1:39" ht="54" customHeight="1" x14ac:dyDescent="0.2">
      <c r="A94" s="9">
        <v>93</v>
      </c>
      <c r="B94" s="9" t="s">
        <v>46</v>
      </c>
      <c r="C94" s="9" t="s">
        <v>1003</v>
      </c>
      <c r="D94" s="9" t="s">
        <v>1003</v>
      </c>
      <c r="E94" s="7" t="s">
        <v>1004</v>
      </c>
      <c r="F94" s="7" t="s">
        <v>1005</v>
      </c>
      <c r="G94" s="17">
        <v>1490</v>
      </c>
      <c r="H94" s="17">
        <v>1200</v>
      </c>
      <c r="I94" s="17">
        <v>5000</v>
      </c>
      <c r="J94" s="8">
        <v>7</v>
      </c>
      <c r="K94" s="17">
        <v>50</v>
      </c>
      <c r="L94" s="8">
        <v>0.25</v>
      </c>
      <c r="M94" s="17">
        <v>10</v>
      </c>
      <c r="N94" s="17">
        <v>0</v>
      </c>
      <c r="O94" s="18">
        <f>J94*K94+L94*الافتراضات!$B$3+M94+N94</f>
        <v>410</v>
      </c>
      <c r="P94" s="18">
        <f>O94*الافتراضات!$B$7</f>
        <v>16.399999999999999</v>
      </c>
      <c r="Q94" s="18">
        <f>G94*الافتراضات!$B$4</f>
        <v>37.25</v>
      </c>
      <c r="R94" s="18">
        <f>G94*الافتراضات!$B$5</f>
        <v>74.5</v>
      </c>
      <c r="S94" s="18">
        <f t="shared" si="8"/>
        <v>538.15</v>
      </c>
      <c r="T94" s="19">
        <f t="shared" si="9"/>
        <v>0.63882550335570476</v>
      </c>
      <c r="U94" s="19">
        <f t="shared" si="10"/>
        <v>0.68882550335570458</v>
      </c>
      <c r="V94" s="18">
        <f>(O94+P94)/((1-الافتراضات!$B$4-الافتراضات!$B$5)*(1-الافتراضات!$B$6))</f>
        <v>921.94594594594594</v>
      </c>
      <c r="W94" s="19">
        <f t="shared" si="11"/>
        <v>0.38124433157990206</v>
      </c>
      <c r="X94" s="7" t="s">
        <v>127</v>
      </c>
      <c r="Y94" s="7" t="s">
        <v>1006</v>
      </c>
      <c r="Z94" s="7" t="s">
        <v>1007</v>
      </c>
      <c r="AA94" s="7" t="s">
        <v>1008</v>
      </c>
      <c r="AB94" s="7" t="s">
        <v>1009</v>
      </c>
      <c r="AC94" s="7" t="s">
        <v>1010</v>
      </c>
      <c r="AD94" s="7" t="s">
        <v>238</v>
      </c>
      <c r="AE94" s="7" t="s">
        <v>1011</v>
      </c>
      <c r="AF94" s="7" t="s">
        <v>472</v>
      </c>
      <c r="AG94" s="7" t="s">
        <v>136</v>
      </c>
      <c r="AH94" s="7" t="s">
        <v>137</v>
      </c>
      <c r="AI94" s="7" t="s">
        <v>217</v>
      </c>
      <c r="AJ94" s="7" t="s">
        <v>1012</v>
      </c>
      <c r="AK94" s="7">
        <v>78</v>
      </c>
      <c r="AL94" s="7" t="s">
        <v>110</v>
      </c>
      <c r="AM94" s="4" t="s">
        <v>47</v>
      </c>
    </row>
    <row r="95" spans="1:39" ht="54" customHeight="1" x14ac:dyDescent="0.2">
      <c r="A95" s="9">
        <v>94</v>
      </c>
      <c r="B95" s="9" t="s">
        <v>46</v>
      </c>
      <c r="C95" s="9" t="s">
        <v>1013</v>
      </c>
      <c r="D95" s="9" t="s">
        <v>1014</v>
      </c>
      <c r="E95" s="7" t="s">
        <v>371</v>
      </c>
      <c r="F95" s="7" t="s">
        <v>1015</v>
      </c>
      <c r="G95" s="17">
        <v>3990</v>
      </c>
      <c r="H95" s="17">
        <v>3000</v>
      </c>
      <c r="I95" s="17">
        <v>9000</v>
      </c>
      <c r="J95" s="8">
        <v>18</v>
      </c>
      <c r="K95" s="17">
        <v>60</v>
      </c>
      <c r="L95" s="8">
        <v>0.8</v>
      </c>
      <c r="M95" s="17">
        <v>22</v>
      </c>
      <c r="N95" s="17">
        <v>250</v>
      </c>
      <c r="O95" s="18">
        <f>J95*K95+L95*الافتراضات!$B$3+M95+N95</f>
        <v>1512</v>
      </c>
      <c r="P95" s="18">
        <f>O95*الافتراضات!$B$7</f>
        <v>60.480000000000004</v>
      </c>
      <c r="Q95" s="18">
        <f>G95*الافتراضات!$B$4</f>
        <v>99.75</v>
      </c>
      <c r="R95" s="18">
        <f>G95*الافتراضات!$B$5</f>
        <v>199.5</v>
      </c>
      <c r="S95" s="18">
        <f t="shared" si="8"/>
        <v>1871.73</v>
      </c>
      <c r="T95" s="19">
        <f t="shared" si="9"/>
        <v>0.53089473684210531</v>
      </c>
      <c r="U95" s="19">
        <f t="shared" si="10"/>
        <v>0.58089473684210524</v>
      </c>
      <c r="V95" s="18">
        <f>(O95+P95)/((1-الافتراضات!$B$4-الافتراضات!$B$5)*(1-الافتراضات!$B$6))</f>
        <v>3399.9567567567569</v>
      </c>
      <c r="W95" s="19">
        <f t="shared" si="11"/>
        <v>0.14788051209103836</v>
      </c>
      <c r="X95" s="7" t="s">
        <v>255</v>
      </c>
      <c r="Y95" s="7" t="s">
        <v>1016</v>
      </c>
      <c r="Z95" s="7" t="s">
        <v>1017</v>
      </c>
      <c r="AA95" s="7" t="s">
        <v>1018</v>
      </c>
      <c r="AB95" s="7" t="s">
        <v>620</v>
      </c>
      <c r="AC95" s="7" t="s">
        <v>1019</v>
      </c>
      <c r="AD95" s="7" t="s">
        <v>554</v>
      </c>
      <c r="AE95" s="7" t="s">
        <v>1020</v>
      </c>
      <c r="AF95" s="7" t="s">
        <v>503</v>
      </c>
      <c r="AG95" s="7" t="s">
        <v>136</v>
      </c>
      <c r="AH95" s="7" t="s">
        <v>264</v>
      </c>
      <c r="AI95" s="7" t="s">
        <v>482</v>
      </c>
      <c r="AJ95" s="7" t="s">
        <v>1021</v>
      </c>
      <c r="AK95" s="7">
        <v>72</v>
      </c>
      <c r="AL95" s="7" t="s">
        <v>110</v>
      </c>
      <c r="AM95" s="4" t="s">
        <v>47</v>
      </c>
    </row>
    <row r="96" spans="1:39" ht="54" customHeight="1" x14ac:dyDescent="0.2">
      <c r="A96" s="9">
        <v>95</v>
      </c>
      <c r="B96" s="9" t="s">
        <v>46</v>
      </c>
      <c r="C96" s="9" t="s">
        <v>344</v>
      </c>
      <c r="D96" s="9" t="s">
        <v>1022</v>
      </c>
      <c r="E96" s="7" t="s">
        <v>486</v>
      </c>
      <c r="F96" s="7" t="s">
        <v>1023</v>
      </c>
      <c r="G96" s="17">
        <v>2990</v>
      </c>
      <c r="H96" s="17">
        <v>2000</v>
      </c>
      <c r="I96" s="17">
        <v>7000</v>
      </c>
      <c r="J96" s="8">
        <v>13</v>
      </c>
      <c r="K96" s="17">
        <v>55</v>
      </c>
      <c r="L96" s="8">
        <v>0.5</v>
      </c>
      <c r="M96" s="17">
        <v>16</v>
      </c>
      <c r="N96" s="17">
        <v>200</v>
      </c>
      <c r="O96" s="18">
        <f>J96*K96+L96*الافتراضات!$B$3+M96+N96</f>
        <v>1031</v>
      </c>
      <c r="P96" s="18">
        <f>O96*الافتراضات!$B$7</f>
        <v>41.24</v>
      </c>
      <c r="Q96" s="18">
        <f>G96*الافتراضات!$B$4</f>
        <v>74.75</v>
      </c>
      <c r="R96" s="18">
        <f>G96*الافتراضات!$B$5</f>
        <v>149.5</v>
      </c>
      <c r="S96" s="18">
        <f t="shared" si="8"/>
        <v>1296.49</v>
      </c>
      <c r="T96" s="19">
        <f t="shared" si="9"/>
        <v>0.56639130434782603</v>
      </c>
      <c r="U96" s="19">
        <f t="shared" si="10"/>
        <v>0.61639130434782607</v>
      </c>
      <c r="V96" s="18">
        <f>(O96+P96)/((1-الافتراضات!$B$4-الافتراضات!$B$5)*(1-الافتراضات!$B$6))</f>
        <v>2318.356756756757</v>
      </c>
      <c r="W96" s="19">
        <f t="shared" si="11"/>
        <v>0.22462984723854279</v>
      </c>
      <c r="X96" s="7" t="s">
        <v>127</v>
      </c>
      <c r="Y96" s="7" t="s">
        <v>1024</v>
      </c>
      <c r="Z96" s="7" t="s">
        <v>1025</v>
      </c>
      <c r="AA96" s="7" t="s">
        <v>1026</v>
      </c>
      <c r="AB96" s="7" t="s">
        <v>1027</v>
      </c>
      <c r="AC96" s="7" t="s">
        <v>1028</v>
      </c>
      <c r="AD96" s="7" t="s">
        <v>238</v>
      </c>
      <c r="AE96" s="7" t="s">
        <v>1029</v>
      </c>
      <c r="AF96" s="7" t="s">
        <v>493</v>
      </c>
      <c r="AG96" s="7" t="s">
        <v>136</v>
      </c>
      <c r="AH96" s="7" t="s">
        <v>137</v>
      </c>
      <c r="AI96" s="7" t="s">
        <v>192</v>
      </c>
      <c r="AJ96" s="7" t="s">
        <v>1030</v>
      </c>
      <c r="AK96" s="7">
        <v>78</v>
      </c>
      <c r="AL96" s="7" t="s">
        <v>110</v>
      </c>
      <c r="AM96" s="4" t="s">
        <v>47</v>
      </c>
    </row>
    <row r="97" spans="1:39" ht="54" customHeight="1" x14ac:dyDescent="0.2">
      <c r="A97" s="9">
        <v>96</v>
      </c>
      <c r="B97" s="9" t="s">
        <v>46</v>
      </c>
      <c r="C97" s="9" t="s">
        <v>1031</v>
      </c>
      <c r="D97" s="9" t="s">
        <v>1031</v>
      </c>
      <c r="E97" s="7" t="s">
        <v>970</v>
      </c>
      <c r="F97" s="7" t="s">
        <v>1032</v>
      </c>
      <c r="G97" s="17">
        <v>4990</v>
      </c>
      <c r="H97" s="17">
        <v>3500</v>
      </c>
      <c r="I97" s="17">
        <v>15000</v>
      </c>
      <c r="J97" s="8">
        <v>18</v>
      </c>
      <c r="K97" s="17">
        <v>75</v>
      </c>
      <c r="L97" s="8">
        <v>1.1000000000000001</v>
      </c>
      <c r="M97" s="17">
        <v>20</v>
      </c>
      <c r="N97" s="17">
        <v>0</v>
      </c>
      <c r="O97" s="18">
        <f>J97*K97+L97*الافتراضات!$B$3+M97+N97</f>
        <v>1590</v>
      </c>
      <c r="P97" s="18">
        <f>O97*الافتراضات!$B$7</f>
        <v>63.6</v>
      </c>
      <c r="Q97" s="18">
        <f>G97*الافتراضات!$B$4</f>
        <v>124.75</v>
      </c>
      <c r="R97" s="18">
        <f>G97*الافتراضات!$B$5</f>
        <v>249.5</v>
      </c>
      <c r="S97" s="18">
        <f t="shared" si="8"/>
        <v>2027.85</v>
      </c>
      <c r="T97" s="19">
        <f t="shared" si="9"/>
        <v>0.59361723446893788</v>
      </c>
      <c r="U97" s="19">
        <f t="shared" si="10"/>
        <v>0.64361723446893793</v>
      </c>
      <c r="V97" s="18">
        <f>(O97+P97)/((1-الافتراضات!$B$4-الافتراضات!$B$5)*(1-الافتراضات!$B$6))</f>
        <v>3575.3513513513512</v>
      </c>
      <c r="W97" s="19">
        <f t="shared" si="11"/>
        <v>0.28349672317608193</v>
      </c>
      <c r="X97" s="7" t="s">
        <v>255</v>
      </c>
      <c r="Y97" s="7" t="s">
        <v>1033</v>
      </c>
      <c r="Z97" s="7" t="s">
        <v>1034</v>
      </c>
      <c r="AA97" s="7" t="s">
        <v>1035</v>
      </c>
      <c r="AB97" s="7" t="s">
        <v>1036</v>
      </c>
      <c r="AC97" s="7" t="s">
        <v>1037</v>
      </c>
      <c r="AD97" s="7" t="s">
        <v>554</v>
      </c>
      <c r="AE97" s="7" t="s">
        <v>1038</v>
      </c>
      <c r="AF97" s="7" t="s">
        <v>503</v>
      </c>
      <c r="AG97" s="7" t="s">
        <v>136</v>
      </c>
      <c r="AH97" s="7" t="s">
        <v>264</v>
      </c>
      <c r="AI97" s="7" t="s">
        <v>482</v>
      </c>
      <c r="AJ97" s="7" t="s">
        <v>817</v>
      </c>
      <c r="AK97" s="7">
        <v>72</v>
      </c>
      <c r="AL97" s="7" t="s">
        <v>110</v>
      </c>
      <c r="AM97" s="4" t="s">
        <v>47</v>
      </c>
    </row>
  </sheetData>
  <autoFilter ref="A1:AM97" xr:uid="{00000000-0009-0000-0000-000001000000}"/>
  <conditionalFormatting sqref="T2:T97">
    <cfRule type="cellIs" dxfId="2" priority="1" operator="lessThan">
      <formula>0.5</formula>
    </cfRule>
    <cfRule type="cellIs" dxfId="1" priority="2" operator="greaterThanOrEqual">
      <formula>0.5</formula>
    </cfRule>
  </conditionalFormatting>
  <conditionalFormatting sqref="AK2:AK97">
    <cfRule type="cellIs" dxfId="0" priority="3" operator="greaterThanOrEqual">
      <formula>85</formula>
    </cfRule>
  </conditionalFormatting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showGridLines="0" rightToLeft="1" tabSelected="1" workbookViewId="0">
      <selection activeCell="B7" sqref="B7"/>
    </sheetView>
  </sheetViews>
  <sheetFormatPr defaultRowHeight="14.25" x14ac:dyDescent="0.2"/>
  <cols>
    <col min="1" max="1" width="34" customWidth="1"/>
    <col min="2" max="2" width="16" customWidth="1"/>
    <col min="3" max="3" width="18" customWidth="1"/>
    <col min="4" max="4" width="55" customWidth="1"/>
  </cols>
  <sheetData>
    <row r="1" spans="1:4" ht="20.25" x14ac:dyDescent="0.3">
      <c r="A1" s="30" t="s">
        <v>1039</v>
      </c>
      <c r="B1" s="22"/>
      <c r="C1" s="22"/>
      <c r="D1" s="22"/>
    </row>
    <row r="2" spans="1:4" ht="15" x14ac:dyDescent="0.25">
      <c r="A2" s="12" t="s">
        <v>1040</v>
      </c>
      <c r="B2" s="12" t="s">
        <v>1041</v>
      </c>
      <c r="C2" s="12" t="s">
        <v>1042</v>
      </c>
      <c r="D2" s="12" t="s">
        <v>1043</v>
      </c>
    </row>
    <row r="3" spans="1:4" x14ac:dyDescent="0.2">
      <c r="A3" t="s">
        <v>1044</v>
      </c>
      <c r="B3" s="13">
        <v>200</v>
      </c>
      <c r="C3" t="s">
        <v>1045</v>
      </c>
      <c r="D3" t="s">
        <v>1046</v>
      </c>
    </row>
    <row r="4" spans="1:4" x14ac:dyDescent="0.2">
      <c r="A4" t="s">
        <v>1047</v>
      </c>
      <c r="B4" s="20">
        <v>2.5000000000000001E-2</v>
      </c>
      <c r="C4" t="s">
        <v>1048</v>
      </c>
      <c r="D4" t="s">
        <v>1049</v>
      </c>
    </row>
    <row r="5" spans="1:4" x14ac:dyDescent="0.2">
      <c r="A5" t="s">
        <v>1050</v>
      </c>
      <c r="B5" s="20">
        <v>0.05</v>
      </c>
      <c r="C5" t="s">
        <v>1048</v>
      </c>
      <c r="D5" t="s">
        <v>1051</v>
      </c>
    </row>
    <row r="6" spans="1:4" x14ac:dyDescent="0.2">
      <c r="A6" t="s">
        <v>1052</v>
      </c>
      <c r="B6" s="20">
        <v>0.5</v>
      </c>
      <c r="C6" t="s">
        <v>1053</v>
      </c>
      <c r="D6" t="s">
        <v>1054</v>
      </c>
    </row>
    <row r="7" spans="1:4" x14ac:dyDescent="0.2">
      <c r="A7" t="s">
        <v>1055</v>
      </c>
      <c r="B7" s="20">
        <v>0.04</v>
      </c>
      <c r="C7" t="s">
        <v>1056</v>
      </c>
      <c r="D7" t="s">
        <v>1057</v>
      </c>
    </row>
    <row r="8" spans="1:4" x14ac:dyDescent="0.2">
      <c r="A8" t="s">
        <v>1058</v>
      </c>
      <c r="B8" s="20">
        <v>0.15</v>
      </c>
      <c r="C8" t="s">
        <v>1053</v>
      </c>
      <c r="D8" t="s">
        <v>1059</v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3"/>
  <sheetViews>
    <sheetView showGridLines="0" rightToLeft="1" workbookViewId="0">
      <selection sqref="A1:F2"/>
    </sheetView>
  </sheetViews>
  <sheetFormatPr defaultRowHeight="14.25" x14ac:dyDescent="0.2"/>
  <cols>
    <col min="1" max="1" width="18" customWidth="1"/>
    <col min="2" max="2" width="50" customWidth="1"/>
    <col min="3" max="3" width="55" customWidth="1"/>
    <col min="4" max="4" width="20" customWidth="1"/>
    <col min="5" max="5" width="18" customWidth="1"/>
    <col min="6" max="6" width="35" customWidth="1"/>
  </cols>
  <sheetData>
    <row r="1" spans="1:6" x14ac:dyDescent="0.2">
      <c r="A1" s="31" t="s">
        <v>1060</v>
      </c>
      <c r="B1" s="22"/>
      <c r="C1" s="22"/>
      <c r="D1" s="22"/>
      <c r="E1" s="22"/>
      <c r="F1" s="22"/>
    </row>
    <row r="2" spans="1:6" x14ac:dyDescent="0.2">
      <c r="A2" s="22"/>
      <c r="B2" s="22"/>
      <c r="C2" s="22"/>
      <c r="D2" s="22"/>
      <c r="E2" s="22"/>
      <c r="F2" s="22"/>
    </row>
    <row r="4" spans="1:6" ht="15" x14ac:dyDescent="0.25">
      <c r="A4" s="12" t="s">
        <v>1061</v>
      </c>
      <c r="B4" s="12" t="s">
        <v>1062</v>
      </c>
      <c r="C4" s="12" t="s">
        <v>1063</v>
      </c>
      <c r="D4" s="12" t="s">
        <v>1064</v>
      </c>
      <c r="E4" s="12" t="s">
        <v>1065</v>
      </c>
      <c r="F4" s="12" t="s">
        <v>1066</v>
      </c>
    </row>
    <row r="5" spans="1:6" ht="28.5" x14ac:dyDescent="0.2">
      <c r="A5" s="2" t="s">
        <v>1067</v>
      </c>
      <c r="B5" s="2" t="s">
        <v>1068</v>
      </c>
      <c r="C5" s="2" t="s">
        <v>1069</v>
      </c>
      <c r="D5" s="2" t="s">
        <v>1070</v>
      </c>
      <c r="E5" s="2" t="s">
        <v>1071</v>
      </c>
      <c r="F5" s="2" t="s">
        <v>1072</v>
      </c>
    </row>
    <row r="6" spans="1:6" ht="28.5" x14ac:dyDescent="0.2">
      <c r="A6" s="2" t="s">
        <v>1073</v>
      </c>
      <c r="B6" s="2" t="s">
        <v>1074</v>
      </c>
      <c r="C6" s="2" t="s">
        <v>1075</v>
      </c>
      <c r="D6" s="2" t="s">
        <v>1070</v>
      </c>
      <c r="E6" s="2" t="s">
        <v>1071</v>
      </c>
      <c r="F6" s="2" t="s">
        <v>1072</v>
      </c>
    </row>
    <row r="7" spans="1:6" x14ac:dyDescent="0.2">
      <c r="A7" s="2" t="s">
        <v>1076</v>
      </c>
      <c r="B7" s="2" t="s">
        <v>1077</v>
      </c>
      <c r="C7" s="2" t="s">
        <v>1078</v>
      </c>
      <c r="D7" s="2" t="s">
        <v>1070</v>
      </c>
      <c r="E7" s="2" t="s">
        <v>1071</v>
      </c>
      <c r="F7" s="2" t="s">
        <v>1072</v>
      </c>
    </row>
    <row r="8" spans="1:6" x14ac:dyDescent="0.2">
      <c r="A8" s="2" t="s">
        <v>1079</v>
      </c>
      <c r="B8" s="2" t="s">
        <v>1080</v>
      </c>
      <c r="C8" s="2" t="s">
        <v>1081</v>
      </c>
      <c r="D8" s="2" t="s">
        <v>1070</v>
      </c>
      <c r="E8" s="2" t="s">
        <v>1071</v>
      </c>
      <c r="F8" s="2" t="s">
        <v>1072</v>
      </c>
    </row>
    <row r="9" spans="1:6" x14ac:dyDescent="0.2">
      <c r="A9" s="2" t="s">
        <v>1082</v>
      </c>
      <c r="B9" s="2" t="s">
        <v>1083</v>
      </c>
      <c r="C9" s="2" t="s">
        <v>1084</v>
      </c>
      <c r="D9" s="2" t="s">
        <v>1070</v>
      </c>
      <c r="E9" s="2" t="s">
        <v>1071</v>
      </c>
      <c r="F9" s="2" t="s">
        <v>1072</v>
      </c>
    </row>
    <row r="10" spans="1:6" x14ac:dyDescent="0.2">
      <c r="A10" s="2" t="s">
        <v>1085</v>
      </c>
      <c r="B10" s="2" t="s">
        <v>1086</v>
      </c>
      <c r="C10" s="2" t="s">
        <v>1087</v>
      </c>
      <c r="D10" s="2" t="s">
        <v>1070</v>
      </c>
      <c r="E10" s="2" t="s">
        <v>1071</v>
      </c>
      <c r="F10" s="2" t="s">
        <v>1072</v>
      </c>
    </row>
    <row r="13" spans="1:6" ht="18" x14ac:dyDescent="0.25">
      <c r="A13" s="27" t="s">
        <v>1088</v>
      </c>
      <c r="B13" s="22"/>
      <c r="C13" s="22"/>
      <c r="D13" s="22"/>
      <c r="E13" s="22"/>
      <c r="F13" s="22"/>
    </row>
    <row r="14" spans="1:6" x14ac:dyDescent="0.2">
      <c r="A14" t="s">
        <v>1089</v>
      </c>
      <c r="B14" s="22" t="s">
        <v>1090</v>
      </c>
      <c r="C14" s="22"/>
      <c r="D14" s="22"/>
      <c r="E14" s="22"/>
      <c r="F14" s="22"/>
    </row>
    <row r="15" spans="1:6" x14ac:dyDescent="0.2">
      <c r="A15" t="s">
        <v>1091</v>
      </c>
      <c r="B15" s="22" t="s">
        <v>1092</v>
      </c>
      <c r="C15" s="22"/>
      <c r="D15" s="22"/>
      <c r="E15" s="22"/>
      <c r="F15" s="22"/>
    </row>
    <row r="16" spans="1:6" x14ac:dyDescent="0.2">
      <c r="A16" t="s">
        <v>1093</v>
      </c>
      <c r="B16" s="22" t="s">
        <v>1094</v>
      </c>
      <c r="C16" s="22"/>
      <c r="D16" s="22"/>
      <c r="E16" s="22"/>
      <c r="F16" s="22"/>
    </row>
    <row r="17" spans="1:6" x14ac:dyDescent="0.2">
      <c r="A17" t="s">
        <v>1095</v>
      </c>
      <c r="B17" s="22" t="s">
        <v>1096</v>
      </c>
      <c r="C17" s="22"/>
      <c r="D17" s="22"/>
      <c r="E17" s="22"/>
      <c r="F17" s="22"/>
    </row>
    <row r="18" spans="1:6" x14ac:dyDescent="0.2">
      <c r="A18" t="s">
        <v>1097</v>
      </c>
      <c r="B18" s="22" t="s">
        <v>1098</v>
      </c>
      <c r="C18" s="22"/>
      <c r="D18" s="22"/>
      <c r="E18" s="22"/>
      <c r="F18" s="22"/>
    </row>
    <row r="19" spans="1:6" x14ac:dyDescent="0.2">
      <c r="A19" t="s">
        <v>1099</v>
      </c>
      <c r="B19" s="22" t="s">
        <v>1100</v>
      </c>
      <c r="C19" s="22"/>
      <c r="D19" s="22"/>
      <c r="E19" s="22"/>
      <c r="F19" s="22"/>
    </row>
    <row r="22" spans="1:6" ht="18" x14ac:dyDescent="0.25">
      <c r="A22" s="27" t="s">
        <v>1101</v>
      </c>
      <c r="B22" s="22"/>
      <c r="C22" s="22"/>
      <c r="D22" s="22"/>
      <c r="E22" s="22"/>
      <c r="F22" s="22"/>
    </row>
    <row r="23" spans="1:6" x14ac:dyDescent="0.2">
      <c r="A23" t="s">
        <v>1102</v>
      </c>
      <c r="B23" s="22" t="s">
        <v>1103</v>
      </c>
      <c r="C23" s="22"/>
      <c r="D23" s="22"/>
      <c r="E23" s="22"/>
      <c r="F23" s="22"/>
    </row>
    <row r="24" spans="1:6" x14ac:dyDescent="0.2">
      <c r="A24" t="s">
        <v>1104</v>
      </c>
      <c r="B24" s="22" t="s">
        <v>1103</v>
      </c>
      <c r="C24" s="22"/>
      <c r="D24" s="22"/>
      <c r="E24" s="22"/>
      <c r="F24" s="22"/>
    </row>
    <row r="25" spans="1:6" x14ac:dyDescent="0.2">
      <c r="A25" t="s">
        <v>1105</v>
      </c>
      <c r="B25" s="22" t="s">
        <v>1103</v>
      </c>
      <c r="C25" s="22"/>
      <c r="D25" s="22"/>
      <c r="E25" s="22"/>
      <c r="F25" s="22"/>
    </row>
    <row r="26" spans="1:6" x14ac:dyDescent="0.2">
      <c r="A26" t="s">
        <v>1106</v>
      </c>
      <c r="B26" s="22" t="s">
        <v>1103</v>
      </c>
      <c r="C26" s="22"/>
      <c r="D26" s="22"/>
      <c r="E26" s="22"/>
      <c r="F26" s="22"/>
    </row>
    <row r="27" spans="1:6" x14ac:dyDescent="0.2">
      <c r="A27" t="s">
        <v>1107</v>
      </c>
      <c r="B27" s="22" t="s">
        <v>1103</v>
      </c>
      <c r="C27" s="22"/>
      <c r="D27" s="22"/>
      <c r="E27" s="22"/>
      <c r="F27" s="22"/>
    </row>
    <row r="28" spans="1:6" x14ac:dyDescent="0.2">
      <c r="A28" t="s">
        <v>1108</v>
      </c>
      <c r="B28" s="22" t="s">
        <v>1103</v>
      </c>
      <c r="C28" s="22"/>
      <c r="D28" s="22"/>
      <c r="E28" s="22"/>
      <c r="F28" s="22"/>
    </row>
    <row r="29" spans="1:6" x14ac:dyDescent="0.2">
      <c r="A29" t="s">
        <v>1109</v>
      </c>
      <c r="B29" s="22" t="s">
        <v>1103</v>
      </c>
      <c r="C29" s="22"/>
      <c r="D29" s="22"/>
      <c r="E29" s="22"/>
      <c r="F29" s="22"/>
    </row>
    <row r="30" spans="1:6" x14ac:dyDescent="0.2">
      <c r="A30" t="s">
        <v>1110</v>
      </c>
      <c r="B30" s="22" t="s">
        <v>1103</v>
      </c>
      <c r="C30" s="22"/>
      <c r="D30" s="22"/>
      <c r="E30" s="22"/>
      <c r="F30" s="22"/>
    </row>
    <row r="31" spans="1:6" x14ac:dyDescent="0.2">
      <c r="A31" t="s">
        <v>1111</v>
      </c>
      <c r="B31" s="22" t="s">
        <v>1103</v>
      </c>
      <c r="C31" s="22"/>
      <c r="D31" s="22"/>
      <c r="E31" s="22"/>
      <c r="F31" s="22"/>
    </row>
    <row r="32" spans="1:6" x14ac:dyDescent="0.2">
      <c r="A32" t="s">
        <v>1112</v>
      </c>
      <c r="B32" s="22" t="s">
        <v>1103</v>
      </c>
      <c r="C32" s="22"/>
      <c r="D32" s="22"/>
      <c r="E32" s="22"/>
      <c r="F32" s="22"/>
    </row>
    <row r="33" spans="1:6" x14ac:dyDescent="0.2">
      <c r="A33" t="s">
        <v>1113</v>
      </c>
      <c r="B33" s="22" t="s">
        <v>1103</v>
      </c>
      <c r="C33" s="22"/>
      <c r="D33" s="22"/>
      <c r="E33" s="22"/>
      <c r="F33" s="22"/>
    </row>
  </sheetData>
  <mergeCells count="20">
    <mergeCell ref="B33:F33"/>
    <mergeCell ref="B32:F32"/>
    <mergeCell ref="B26:F26"/>
    <mergeCell ref="A1:F2"/>
    <mergeCell ref="A22:F22"/>
    <mergeCell ref="B23:F23"/>
    <mergeCell ref="B14:F14"/>
    <mergeCell ref="B17:F17"/>
    <mergeCell ref="A13:F13"/>
    <mergeCell ref="B19:F19"/>
    <mergeCell ref="B15:F15"/>
    <mergeCell ref="B16:F16"/>
    <mergeCell ref="B25:F25"/>
    <mergeCell ref="B31:F31"/>
    <mergeCell ref="B18:F18"/>
    <mergeCell ref="B27:F27"/>
    <mergeCell ref="B29:F29"/>
    <mergeCell ref="B28:F28"/>
    <mergeCell ref="B30:F30"/>
    <mergeCell ref="B24:F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"/>
  <sheetViews>
    <sheetView showGridLines="0" rightToLeft="1" workbookViewId="0">
      <selection sqref="A1:F2"/>
    </sheetView>
  </sheetViews>
  <sheetFormatPr defaultRowHeight="14.25" x14ac:dyDescent="0.2"/>
  <cols>
    <col min="1" max="1" width="15" customWidth="1"/>
    <col min="2" max="2" width="18" customWidth="1"/>
    <col min="3" max="3" width="36" customWidth="1"/>
    <col min="4" max="4" width="30" customWidth="1"/>
    <col min="5" max="5" width="24" customWidth="1"/>
    <col min="6" max="6" width="30" customWidth="1"/>
  </cols>
  <sheetData>
    <row r="1" spans="1:6" x14ac:dyDescent="0.2">
      <c r="A1" s="31" t="s">
        <v>1114</v>
      </c>
      <c r="B1" s="22"/>
      <c r="C1" s="22"/>
      <c r="D1" s="22"/>
      <c r="E1" s="22"/>
      <c r="F1" s="22"/>
    </row>
    <row r="2" spans="1:6" x14ac:dyDescent="0.2">
      <c r="A2" s="22"/>
      <c r="B2" s="22"/>
      <c r="C2" s="22"/>
      <c r="D2" s="22"/>
      <c r="E2" s="22"/>
      <c r="F2" s="22"/>
    </row>
    <row r="4" spans="1:6" ht="15" x14ac:dyDescent="0.25">
      <c r="A4" s="12" t="s">
        <v>1115</v>
      </c>
      <c r="B4" s="12" t="s">
        <v>1116</v>
      </c>
      <c r="C4" s="12" t="s">
        <v>203</v>
      </c>
      <c r="D4" s="12" t="s">
        <v>1117</v>
      </c>
      <c r="E4" s="12" t="s">
        <v>1118</v>
      </c>
      <c r="F4" s="12" t="s">
        <v>1119</v>
      </c>
    </row>
    <row r="5" spans="1:6" x14ac:dyDescent="0.2">
      <c r="A5" s="14" t="s">
        <v>1120</v>
      </c>
      <c r="B5" s="14" t="s">
        <v>900</v>
      </c>
      <c r="C5" s="14" t="s">
        <v>1121</v>
      </c>
      <c r="D5" s="14" t="s">
        <v>1122</v>
      </c>
      <c r="E5" s="14" t="s">
        <v>1123</v>
      </c>
      <c r="F5" s="14" t="s">
        <v>1124</v>
      </c>
    </row>
    <row r="6" spans="1:6" x14ac:dyDescent="0.2">
      <c r="A6" s="14" t="s">
        <v>89</v>
      </c>
      <c r="B6" s="14" t="s">
        <v>1125</v>
      </c>
      <c r="C6" s="14" t="s">
        <v>1126</v>
      </c>
      <c r="D6" s="14" t="s">
        <v>1127</v>
      </c>
      <c r="E6" s="14" t="s">
        <v>1123</v>
      </c>
      <c r="F6" s="14" t="s">
        <v>1124</v>
      </c>
    </row>
    <row r="7" spans="1:6" x14ac:dyDescent="0.2">
      <c r="A7" s="14" t="s">
        <v>105</v>
      </c>
      <c r="B7" s="14" t="s">
        <v>1128</v>
      </c>
      <c r="C7" s="14" t="s">
        <v>1129</v>
      </c>
      <c r="D7" s="14" t="s">
        <v>1130</v>
      </c>
      <c r="E7" s="14" t="s">
        <v>1123</v>
      </c>
      <c r="F7" s="14" t="s">
        <v>1124</v>
      </c>
    </row>
    <row r="8" spans="1:6" x14ac:dyDescent="0.2">
      <c r="A8" s="14" t="s">
        <v>110</v>
      </c>
      <c r="B8" s="14" t="s">
        <v>1131</v>
      </c>
      <c r="C8" s="14" t="s">
        <v>1132</v>
      </c>
      <c r="D8" s="14" t="s">
        <v>1133</v>
      </c>
      <c r="E8" s="14" t="s">
        <v>1123</v>
      </c>
      <c r="F8" s="14" t="s">
        <v>1124</v>
      </c>
    </row>
    <row r="9" spans="1:6" x14ac:dyDescent="0.2">
      <c r="A9" s="14" t="s">
        <v>1134</v>
      </c>
      <c r="B9" s="14" t="s">
        <v>1135</v>
      </c>
      <c r="C9" s="14" t="s">
        <v>1136</v>
      </c>
      <c r="D9" s="14" t="s">
        <v>1137</v>
      </c>
      <c r="E9" s="14" t="s">
        <v>1123</v>
      </c>
      <c r="F9" s="14" t="s">
        <v>1124</v>
      </c>
    </row>
    <row r="10" spans="1:6" x14ac:dyDescent="0.2">
      <c r="A10" s="14" t="s">
        <v>255</v>
      </c>
      <c r="B10" s="14" t="s">
        <v>1138</v>
      </c>
      <c r="C10" s="14" t="s">
        <v>1139</v>
      </c>
      <c r="D10" s="14" t="s">
        <v>1140</v>
      </c>
      <c r="E10" s="14" t="s">
        <v>1123</v>
      </c>
      <c r="F10" s="14" t="s">
        <v>1124</v>
      </c>
    </row>
    <row r="11" spans="1:6" x14ac:dyDescent="0.2">
      <c r="A11" s="14" t="s">
        <v>536</v>
      </c>
      <c r="B11" s="14" t="s">
        <v>1141</v>
      </c>
      <c r="C11" s="14" t="s">
        <v>1142</v>
      </c>
      <c r="D11" s="14" t="s">
        <v>1143</v>
      </c>
      <c r="E11" s="14" t="s">
        <v>1123</v>
      </c>
      <c r="F11" s="14" t="s">
        <v>1124</v>
      </c>
    </row>
  </sheetData>
  <mergeCells count="1">
    <mergeCell ref="A1:F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3"/>
  <sheetViews>
    <sheetView showGridLines="0" rightToLeft="1" workbookViewId="0">
      <selection activeCell="C5" sqref="C5"/>
    </sheetView>
  </sheetViews>
  <sheetFormatPr defaultRowHeight="14.25" x14ac:dyDescent="0.2"/>
  <cols>
    <col min="1" max="1" width="9" customWidth="1"/>
    <col min="2" max="2" width="38" customWidth="1"/>
    <col min="3" max="3" width="80" customWidth="1"/>
    <col min="4" max="4" width="55" customWidth="1"/>
  </cols>
  <sheetData>
    <row r="1" spans="1:4" ht="15" x14ac:dyDescent="0.25">
      <c r="A1" s="15" t="s">
        <v>16</v>
      </c>
      <c r="B1" s="15" t="s">
        <v>1144</v>
      </c>
      <c r="C1" s="15" t="s">
        <v>1145</v>
      </c>
      <c r="D1" s="15" t="s">
        <v>1146</v>
      </c>
    </row>
    <row r="2" spans="1:4" x14ac:dyDescent="0.2">
      <c r="A2">
        <v>1</v>
      </c>
      <c r="B2" t="s">
        <v>24</v>
      </c>
      <c r="C2" s="16" t="s">
        <v>25</v>
      </c>
      <c r="D2" t="s">
        <v>1147</v>
      </c>
    </row>
    <row r="3" spans="1:4" ht="24" x14ac:dyDescent="0.2">
      <c r="A3">
        <v>2</v>
      </c>
      <c r="B3" t="s">
        <v>26</v>
      </c>
      <c r="C3" s="16" t="s">
        <v>27</v>
      </c>
      <c r="D3" t="s">
        <v>1147</v>
      </c>
    </row>
    <row r="4" spans="1:4" x14ac:dyDescent="0.2">
      <c r="A4">
        <v>3</v>
      </c>
      <c r="B4" t="s">
        <v>28</v>
      </c>
      <c r="C4" s="16" t="s">
        <v>29</v>
      </c>
      <c r="D4" t="s">
        <v>1147</v>
      </c>
    </row>
    <row r="5" spans="1:4" ht="24" x14ac:dyDescent="0.2">
      <c r="A5">
        <v>4</v>
      </c>
      <c r="B5" t="s">
        <v>30</v>
      </c>
      <c r="C5" s="16" t="s">
        <v>31</v>
      </c>
      <c r="D5" t="s">
        <v>1147</v>
      </c>
    </row>
    <row r="6" spans="1:4" ht="24" x14ac:dyDescent="0.2">
      <c r="A6">
        <v>5</v>
      </c>
      <c r="B6" t="s">
        <v>32</v>
      </c>
      <c r="C6" s="16" t="s">
        <v>33</v>
      </c>
      <c r="D6" t="s">
        <v>1147</v>
      </c>
    </row>
    <row r="7" spans="1:4" ht="24" x14ac:dyDescent="0.2">
      <c r="A7">
        <v>6</v>
      </c>
      <c r="B7" t="s">
        <v>34</v>
      </c>
      <c r="C7" s="16" t="s">
        <v>35</v>
      </c>
      <c r="D7" t="s">
        <v>1147</v>
      </c>
    </row>
    <row r="8" spans="1:4" x14ac:dyDescent="0.2">
      <c r="A8">
        <v>7</v>
      </c>
      <c r="B8" t="s">
        <v>36</v>
      </c>
      <c r="C8" s="16" t="s">
        <v>37</v>
      </c>
      <c r="D8" t="s">
        <v>1147</v>
      </c>
    </row>
    <row r="9" spans="1:4" ht="24" x14ac:dyDescent="0.2">
      <c r="A9">
        <v>8</v>
      </c>
      <c r="B9" t="s">
        <v>38</v>
      </c>
      <c r="C9" s="16" t="s">
        <v>39</v>
      </c>
      <c r="D9" t="s">
        <v>1147</v>
      </c>
    </row>
    <row r="10" spans="1:4" x14ac:dyDescent="0.2">
      <c r="A10">
        <v>9</v>
      </c>
      <c r="B10" t="s">
        <v>40</v>
      </c>
      <c r="C10" s="16" t="s">
        <v>41</v>
      </c>
      <c r="D10" t="s">
        <v>1147</v>
      </c>
    </row>
    <row r="11" spans="1:4" ht="36" x14ac:dyDescent="0.2">
      <c r="A11">
        <v>10</v>
      </c>
      <c r="B11" t="s">
        <v>42</v>
      </c>
      <c r="C11" s="16" t="s">
        <v>43</v>
      </c>
      <c r="D11" t="s">
        <v>1147</v>
      </c>
    </row>
    <row r="12" spans="1:4" ht="24" x14ac:dyDescent="0.2">
      <c r="A12">
        <v>11</v>
      </c>
      <c r="B12" t="s">
        <v>44</v>
      </c>
      <c r="C12" s="16" t="s">
        <v>45</v>
      </c>
      <c r="D12" t="s">
        <v>1147</v>
      </c>
    </row>
    <row r="13" spans="1:4" ht="24" x14ac:dyDescent="0.2">
      <c r="A13">
        <v>12</v>
      </c>
      <c r="B13" t="s">
        <v>46</v>
      </c>
      <c r="C13" s="16" t="s">
        <v>47</v>
      </c>
      <c r="D13" t="s">
        <v>1147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1"/>
  <sheetViews>
    <sheetView showGridLines="0" rightToLeft="1" workbookViewId="0"/>
  </sheetViews>
  <sheetFormatPr defaultRowHeight="14.25" x14ac:dyDescent="0.2"/>
  <cols>
    <col min="1" max="6" width="24" customWidth="1"/>
  </cols>
  <sheetData>
    <row r="1" spans="1:6" x14ac:dyDescent="0.2">
      <c r="A1" s="31" t="s">
        <v>1148</v>
      </c>
      <c r="B1" s="22"/>
      <c r="C1" s="22"/>
      <c r="D1" s="22"/>
      <c r="E1" s="22"/>
      <c r="F1" s="22"/>
    </row>
    <row r="2" spans="1:6" x14ac:dyDescent="0.2">
      <c r="A2" s="22"/>
      <c r="B2" s="22"/>
      <c r="C2" s="22"/>
      <c r="D2" s="22"/>
      <c r="E2" s="22"/>
      <c r="F2" s="22"/>
    </row>
    <row r="4" spans="1:6" ht="38.1" customHeight="1" x14ac:dyDescent="0.2">
      <c r="A4" s="25" t="s">
        <v>1149</v>
      </c>
      <c r="B4" s="22"/>
      <c r="C4" s="22"/>
      <c r="D4" s="22"/>
      <c r="E4" s="22"/>
      <c r="F4" s="22"/>
    </row>
    <row r="5" spans="1:6" ht="38.1" customHeight="1" x14ac:dyDescent="0.2">
      <c r="A5" s="23" t="s">
        <v>1150</v>
      </c>
      <c r="B5" s="22"/>
      <c r="C5" s="22"/>
      <c r="D5" s="22"/>
      <c r="E5" s="22"/>
      <c r="F5" s="22"/>
    </row>
    <row r="6" spans="1:6" ht="38.1" customHeight="1" x14ac:dyDescent="0.2">
      <c r="A6" s="25" t="s">
        <v>1151</v>
      </c>
      <c r="B6" s="22"/>
      <c r="C6" s="22"/>
      <c r="D6" s="22"/>
      <c r="E6" s="22"/>
      <c r="F6" s="22"/>
    </row>
    <row r="7" spans="1:6" ht="38.1" customHeight="1" x14ac:dyDescent="0.2">
      <c r="A7" s="23" t="s">
        <v>1152</v>
      </c>
      <c r="B7" s="22"/>
      <c r="C7" s="22"/>
      <c r="D7" s="22"/>
      <c r="E7" s="22"/>
      <c r="F7" s="22"/>
    </row>
    <row r="8" spans="1:6" ht="38.1" customHeight="1" x14ac:dyDescent="0.2">
      <c r="A8" s="25" t="s">
        <v>1153</v>
      </c>
      <c r="B8" s="22"/>
      <c r="C8" s="22"/>
      <c r="D8" s="22"/>
      <c r="E8" s="22"/>
      <c r="F8" s="22"/>
    </row>
    <row r="9" spans="1:6" ht="38.1" customHeight="1" x14ac:dyDescent="0.2">
      <c r="A9" s="23" t="s">
        <v>1154</v>
      </c>
      <c r="B9" s="22"/>
      <c r="C9" s="22"/>
      <c r="D9" s="22"/>
      <c r="E9" s="22"/>
      <c r="F9" s="22"/>
    </row>
    <row r="10" spans="1:6" ht="38.1" customHeight="1" x14ac:dyDescent="0.2">
      <c r="A10" s="25" t="s">
        <v>1155</v>
      </c>
      <c r="B10" s="22"/>
      <c r="C10" s="22"/>
      <c r="D10" s="22"/>
      <c r="E10" s="22"/>
      <c r="F10" s="22"/>
    </row>
    <row r="11" spans="1:6" ht="38.1" customHeight="1" x14ac:dyDescent="0.2">
      <c r="A11" s="23" t="s">
        <v>1156</v>
      </c>
      <c r="B11" s="22"/>
      <c r="C11" s="22"/>
      <c r="D11" s="22"/>
      <c r="E11" s="22"/>
      <c r="F11" s="22"/>
    </row>
  </sheetData>
  <mergeCells count="9">
    <mergeCell ref="A11:F11"/>
    <mergeCell ref="A10:F10"/>
    <mergeCell ref="A5:F5"/>
    <mergeCell ref="A1:F2"/>
    <mergeCell ref="A9:F9"/>
    <mergeCell ref="A8:F8"/>
    <mergeCell ref="A6:F6"/>
    <mergeCell ref="A4:F4"/>
    <mergeCell ref="A7:F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لوحة_القيادة</vt:lpstr>
      <vt:lpstr>الخدمات_96</vt:lpstr>
      <vt:lpstr>الافتراضات</vt:lpstr>
      <vt:lpstr>منهجية_FARIS360</vt:lpstr>
      <vt:lpstr>سلم_القيمة</vt:lpstr>
      <vt:lpstr>المصادر</vt:lpstr>
      <vt:lpstr>طريقة_الاستخدام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Faris Yousef A. Alduaylij</cp:lastModifiedBy>
  <dcterms:created xsi:type="dcterms:W3CDTF">2026-08-14T22:02:42Z</dcterms:created>
  <dcterms:modified xsi:type="dcterms:W3CDTF">2026-09-05T20:11:32Z</dcterms:modified>
</cp:coreProperties>
</file>